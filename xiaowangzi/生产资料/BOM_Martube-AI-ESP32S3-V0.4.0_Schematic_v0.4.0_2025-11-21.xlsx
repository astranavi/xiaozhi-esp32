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立创采购" sheetId="1" r:id="rId1"/>
    <sheet name="独立采购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<sst xmlns="http://schemas.openxmlformats.org/spreadsheetml/2006/main" count="546" uniqueCount="317">
  <si>
    <t>No.</t>
  </si>
  <si>
    <t>Name</t>
  </si>
  <si>
    <t>Value</t>
  </si>
  <si>
    <t>Designator</t>
  </si>
  <si>
    <t>Device</t>
  </si>
  <si>
    <t>Quantity</t>
  </si>
  <si>
    <t>Footprint</t>
  </si>
  <si>
    <t>LCSC Price</t>
  </si>
  <si>
    <t>JLCPCB Price</t>
  </si>
  <si>
    <t>Supplier Part</t>
  </si>
  <si>
    <t>Supplier</t>
  </si>
  <si>
    <t>100nF</t>
  </si>
  <si>
    <t>C1,C3,C5,C10,C24,C26,C28,C29,C30,C33,C34,C37,C39,C41,C45,C50,C53</t>
  </si>
  <si>
    <t>CL05B104KO5NNNC</t>
  </si>
  <si>
    <t>C0402</t>
  </si>
  <si>
    <t>0.0076</t>
  </si>
  <si>
    <t>C1525</t>
  </si>
  <si>
    <t>LCSC</t>
  </si>
  <si>
    <t>1uF</t>
  </si>
  <si>
    <t>C2,C6,C12,C13,C14,C15,C35,C36,C42,C51,C52</t>
  </si>
  <si>
    <t>CL05A105KP5NNNC</t>
  </si>
  <si>
    <t>0.0106</t>
  </si>
  <si>
    <t>C14445</t>
  </si>
  <si>
    <t>24pF</t>
  </si>
  <si>
    <t>C7,C8</t>
  </si>
  <si>
    <t>CC0402FRNPO9BN240</t>
  </si>
  <si>
    <t>0.02</t>
  </si>
  <si>
    <t>C541435</t>
  </si>
  <si>
    <t>2.7pF</t>
  </si>
  <si>
    <t>C9</t>
  </si>
  <si>
    <t>CC0402BRNPO9BN2R7</t>
  </si>
  <si>
    <t>0.0146</t>
  </si>
  <si>
    <t>C326937</t>
  </si>
  <si>
    <t>10uF</t>
  </si>
  <si>
    <t>C11,C21,C23,C25,C27,C32,C38,C40,C43,C44,C49,C54</t>
  </si>
  <si>
    <t>CL05A106MQ5NUNC</t>
  </si>
  <si>
    <t>0.0297</t>
  </si>
  <si>
    <t>C15525</t>
  </si>
  <si>
    <t>22pF</t>
  </si>
  <si>
    <t>C22</t>
  </si>
  <si>
    <t>CGA0402C0G220J500GT</t>
  </si>
  <si>
    <t>0.0053</t>
  </si>
  <si>
    <t>C42371856</t>
  </si>
  <si>
    <t>10nF</t>
  </si>
  <si>
    <t>C31</t>
  </si>
  <si>
    <t>CL05B103KB5NNNC</t>
  </si>
  <si>
    <t>0.0087</t>
  </si>
  <si>
    <t>C15195</t>
  </si>
  <si>
    <t>100uF</t>
  </si>
  <si>
    <t>C55,C61</t>
  </si>
  <si>
    <t>CL31A107MQHNNNE</t>
  </si>
  <si>
    <t>C1206</t>
  </si>
  <si>
    <t>0.3555</t>
  </si>
  <si>
    <t>0.356</t>
  </si>
  <si>
    <t>C15008</t>
  </si>
  <si>
    <t>C58,C60</t>
  </si>
  <si>
    <t>CC0603KRX7R9BB104</t>
  </si>
  <si>
    <t>C0603</t>
  </si>
  <si>
    <t>0.0155</t>
  </si>
  <si>
    <t>C14663</t>
  </si>
  <si>
    <t>1nF</t>
  </si>
  <si>
    <t>C59</t>
  </si>
  <si>
    <t>GRM1555C1H102JA01D</t>
  </si>
  <si>
    <t>0.0283</t>
  </si>
  <si>
    <t>C76947</t>
  </si>
  <si>
    <t>1N4148WS</t>
  </si>
  <si>
    <t/>
  </si>
  <si>
    <t>D1,D2</t>
  </si>
  <si>
    <t>1N4148WS_C2128</t>
  </si>
  <si>
    <t>SOD-323_L1.8-W1.3-LS2.5-RD</t>
  </si>
  <si>
    <t>0.055</t>
  </si>
  <si>
    <t>C2128</t>
  </si>
  <si>
    <t>SM4007PL</t>
  </si>
  <si>
    <t>D3,D4</t>
  </si>
  <si>
    <t>SM4007PL_C64898</t>
  </si>
  <si>
    <t>SOD-123F_L2.8-W1.8-LS3.7-RD</t>
  </si>
  <si>
    <t>0.0412</t>
  </si>
  <si>
    <t>C64898</t>
  </si>
  <si>
    <t>SL0805300</t>
  </si>
  <si>
    <t>F1</t>
  </si>
  <si>
    <t>F0805</t>
  </si>
  <si>
    <t>0.4934</t>
  </si>
  <si>
    <t>0.493</t>
  </si>
  <si>
    <t>C70160</t>
  </si>
  <si>
    <t>JS20T-S02PHA-00</t>
  </si>
  <si>
    <t>H1</t>
  </si>
  <si>
    <t>CONN-TH_2P-P2.00_JS20T-S02PHA-00</t>
  </si>
  <si>
    <t>0.0994</t>
  </si>
  <si>
    <t>C7499292</t>
  </si>
  <si>
    <t>ZX-ZH1.5-4PLT</t>
  </si>
  <si>
    <t>H2</t>
  </si>
  <si>
    <t>CONN-SMD_4P-P1.50_ZX-ZH1.5-4PLT</t>
  </si>
  <si>
    <t>0.3918</t>
  </si>
  <si>
    <t>0.392</t>
  </si>
  <si>
    <t>C19272416</t>
  </si>
  <si>
    <t>2.2uH</t>
  </si>
  <si>
    <t>H6</t>
  </si>
  <si>
    <t>FTC201610S2R2MBCA</t>
  </si>
  <si>
    <t>IND-SMD_L2.0-W1.6-B</t>
  </si>
  <si>
    <t>0.3164</t>
  </si>
  <si>
    <t>0.316</t>
  </si>
  <si>
    <t>C5832344</t>
  </si>
  <si>
    <t>1.25-2P</t>
  </si>
  <si>
    <t>H7,H8,H10</t>
  </si>
  <si>
    <t>CONN-SMD_1.25-2P</t>
  </si>
  <si>
    <t>0.2639</t>
  </si>
  <si>
    <t>0.264</t>
  </si>
  <si>
    <t>C393945</t>
  </si>
  <si>
    <t>PZ254V-11-04P</t>
  </si>
  <si>
    <t>H9</t>
  </si>
  <si>
    <t>HDR-TH_4P-P2.54-V-M</t>
  </si>
  <si>
    <t>0.1384</t>
  </si>
  <si>
    <t>0.138</t>
  </si>
  <si>
    <t>C2691448</t>
  </si>
  <si>
    <t>ZX-ZH1.5-2PLT</t>
  </si>
  <si>
    <t>H11</t>
  </si>
  <si>
    <t>CONN-SMD_2P-P1.50_ZX-ZH1.5-2PLT</t>
  </si>
  <si>
    <t>0.3123</t>
  </si>
  <si>
    <t>0.312</t>
  </si>
  <si>
    <t>C19272414</t>
  </si>
  <si>
    <t>PZ1608D600-2R0TF</t>
  </si>
  <si>
    <t>L1</t>
  </si>
  <si>
    <t>L0603</t>
  </si>
  <si>
    <t>0.0503</t>
  </si>
  <si>
    <t>C96726</t>
  </si>
  <si>
    <t>3.3uH</t>
  </si>
  <si>
    <t>L2</t>
  </si>
  <si>
    <t>APS252012M3R3F</t>
  </si>
  <si>
    <t>IND-SMD_L2.5-W2.0_APS252012M3R3F</t>
  </si>
  <si>
    <t>0.1049</t>
  </si>
  <si>
    <t>0.105</t>
  </si>
  <si>
    <t>C47327425</t>
  </si>
  <si>
    <t>KT-0603R</t>
  </si>
  <si>
    <t>LED1</t>
  </si>
  <si>
    <t>LED0603-RD</t>
  </si>
  <si>
    <t>0.0372</t>
  </si>
  <si>
    <t>C2286</t>
  </si>
  <si>
    <t>XL-1608UBC-04</t>
  </si>
  <si>
    <t>LED2</t>
  </si>
  <si>
    <t>LED0603-RD_BLUE</t>
  </si>
  <si>
    <t>0.0227</t>
  </si>
  <si>
    <t>C965807</t>
  </si>
  <si>
    <t>AO3415A</t>
  </si>
  <si>
    <t>Q1</t>
  </si>
  <si>
    <t>AO3415A_C347479</t>
  </si>
  <si>
    <t>SOT-23-3_L3.0-W1.7-P0.95-LS2.9-BR</t>
  </si>
  <si>
    <t>0.2458</t>
  </si>
  <si>
    <t>0.246</t>
  </si>
  <si>
    <t>C347479</t>
  </si>
  <si>
    <t>AO3416A</t>
  </si>
  <si>
    <t>Q2</t>
  </si>
  <si>
    <t>0.2254</t>
  </si>
  <si>
    <t>0.225</t>
  </si>
  <si>
    <t>C347499</t>
  </si>
  <si>
    <t>S8050 J3Y(RANGE:200-350)</t>
  </si>
  <si>
    <t>Q5,Q6</t>
  </si>
  <si>
    <t>0.0775</t>
  </si>
  <si>
    <t>C2146</t>
  </si>
  <si>
    <t>51kΩ</t>
  </si>
  <si>
    <t>R1</t>
  </si>
  <si>
    <t>0402WGF5102TCE</t>
  </si>
  <si>
    <t>R0402</t>
  </si>
  <si>
    <t>0.0034</t>
  </si>
  <si>
    <t>C25794</t>
  </si>
  <si>
    <t>100kΩ</t>
  </si>
  <si>
    <t>R2,R5,R54,R57</t>
  </si>
  <si>
    <t>0402WGF1003TCE</t>
  </si>
  <si>
    <t>0.0035</t>
  </si>
  <si>
    <t>C25741</t>
  </si>
  <si>
    <t>1kΩ</t>
  </si>
  <si>
    <t>R3,R6,R40,R42,R47</t>
  </si>
  <si>
    <t>0402WGF1001TCE</t>
  </si>
  <si>
    <t>C11702</t>
  </si>
  <si>
    <t>10kΩ</t>
  </si>
  <si>
    <t>R4,R7,R14,R15,R23,R30,R35,R39,R41,R43,R45,R46,R48,R49,R50,R51</t>
  </si>
  <si>
    <t>0402WGF1002TCE</t>
  </si>
  <si>
    <t>C25744</t>
  </si>
  <si>
    <t>100Ω</t>
  </si>
  <si>
    <t>R8,R9</t>
  </si>
  <si>
    <t>0402WGF1000TCE</t>
  </si>
  <si>
    <t>0.0032</t>
  </si>
  <si>
    <t>C25076</t>
  </si>
  <si>
    <t>0Ω</t>
  </si>
  <si>
    <t>R16,R22,R38,R44</t>
  </si>
  <si>
    <t>0603WAF0000T5E</t>
  </si>
  <si>
    <t>R0603</t>
  </si>
  <si>
    <t>0.0067</t>
  </si>
  <si>
    <t>C21189</t>
  </si>
  <si>
    <t>62kΩ</t>
  </si>
  <si>
    <t>R17</t>
  </si>
  <si>
    <t>FRC0603F6202TS</t>
  </si>
  <si>
    <t>0.0055</t>
  </si>
  <si>
    <t>C2907059</t>
  </si>
  <si>
    <t>R18</t>
  </si>
  <si>
    <t>0402WGF0000TCE</t>
  </si>
  <si>
    <t>C17168</t>
  </si>
  <si>
    <t>2.2kΩ</t>
  </si>
  <si>
    <t>R19,R25,R26</t>
  </si>
  <si>
    <t>0402WGF2201TCE</t>
  </si>
  <si>
    <t>0.0036</t>
  </si>
  <si>
    <t>C25879</t>
  </si>
  <si>
    <t>68kΩ</t>
  </si>
  <si>
    <t>R24</t>
  </si>
  <si>
    <t>0402WGF6802TCE</t>
  </si>
  <si>
    <t>C36871</t>
  </si>
  <si>
    <t>15kΩ</t>
  </si>
  <si>
    <t>R27</t>
  </si>
  <si>
    <t>0402WGF1502TCE</t>
  </si>
  <si>
    <t>C25756</t>
  </si>
  <si>
    <t>22Ω</t>
  </si>
  <si>
    <t>R28,R29,R31,R32</t>
  </si>
  <si>
    <t>0402WGF220JTCE</t>
  </si>
  <si>
    <t>0.0039</t>
  </si>
  <si>
    <t>C25092</t>
  </si>
  <si>
    <t>680Ω</t>
  </si>
  <si>
    <t>R33</t>
  </si>
  <si>
    <t>0402WGF6800TCE</t>
  </si>
  <si>
    <t>0.0038</t>
  </si>
  <si>
    <t>C25130</t>
  </si>
  <si>
    <t>10Ω</t>
  </si>
  <si>
    <t>R34</t>
  </si>
  <si>
    <t>0402WGF100JTCE</t>
  </si>
  <si>
    <t>0.0033</t>
  </si>
  <si>
    <t>C25077</t>
  </si>
  <si>
    <t>5.6kΩ</t>
  </si>
  <si>
    <t>R36</t>
  </si>
  <si>
    <t>0402WGF5601TCE</t>
  </si>
  <si>
    <t>C25908</t>
  </si>
  <si>
    <t>2.7kΩ</t>
  </si>
  <si>
    <t>R37</t>
  </si>
  <si>
    <t>0402WGF2701TCE</t>
  </si>
  <si>
    <t>C25885</t>
  </si>
  <si>
    <t>91kΩ</t>
  </si>
  <si>
    <t>R55</t>
  </si>
  <si>
    <t>ERJ2RKF9102X</t>
  </si>
  <si>
    <t>0.0256</t>
  </si>
  <si>
    <t>C413106</t>
  </si>
  <si>
    <t>12.7kΩ</t>
  </si>
  <si>
    <t>R56</t>
  </si>
  <si>
    <t>0402WGF1272TCE</t>
  </si>
  <si>
    <t>C25853</t>
  </si>
  <si>
    <t>R58</t>
  </si>
  <si>
    <t>0603WAF1003T5E</t>
  </si>
  <si>
    <t>0.0066</t>
  </si>
  <si>
    <t>C25803</t>
  </si>
  <si>
    <t>TSB008A2530A</t>
  </si>
  <si>
    <t>SW2,SW4</t>
  </si>
  <si>
    <t>SW-SMD_L6.0-W3.5-LS8.0</t>
  </si>
  <si>
    <t>0.0679</t>
  </si>
  <si>
    <t>C2888954</t>
  </si>
  <si>
    <t>8002A</t>
  </si>
  <si>
    <t>U2</t>
  </si>
  <si>
    <t>SOP-8_L4.9-W3.9-P1.27-LS6.0-BL</t>
  </si>
  <si>
    <t>0.334</t>
  </si>
  <si>
    <t>C329448</t>
  </si>
  <si>
    <t>RT8059GJ5-TP</t>
  </si>
  <si>
    <t>U4</t>
  </si>
  <si>
    <t>SOT-23-5_L2.9-W1.6-P0.95-LS2.8-BR_1</t>
  </si>
  <si>
    <t>0.4942</t>
  </si>
  <si>
    <t>C41348097</t>
  </si>
  <si>
    <t>BCT4699ETE-TR</t>
  </si>
  <si>
    <t>U6</t>
  </si>
  <si>
    <t>TQFN-16_L3.0-W3.0-P0.50-TL-EP1.7</t>
  </si>
  <si>
    <t>1.7271</t>
  </si>
  <si>
    <t>1.727</t>
  </si>
  <si>
    <t>C266764</t>
  </si>
  <si>
    <t>RT9013-33GB-MS</t>
  </si>
  <si>
    <t>U7</t>
  </si>
  <si>
    <t>SOT-23-5_L2.9-W1.6-P0.95-LS2.8-BR</t>
  </si>
  <si>
    <t>0.3515</t>
  </si>
  <si>
    <t>0.352</t>
  </si>
  <si>
    <t>C7434207</t>
  </si>
  <si>
    <t>TL431A-MS</t>
  </si>
  <si>
    <t>U8</t>
  </si>
  <si>
    <t>SOT-23-3_L2.9-W1.4-P1.90-LS2.5-BR</t>
  </si>
  <si>
    <t>0.132</t>
  </si>
  <si>
    <t>C19272793</t>
  </si>
  <si>
    <t>24MHz</t>
  </si>
  <si>
    <t>X1</t>
  </si>
  <si>
    <t>X322524MOB4SI</t>
  </si>
  <si>
    <t>CRYSTAL-SMD_4P-L3.2-W2.5-BL</t>
  </si>
  <si>
    <t>0.4339</t>
  </si>
  <si>
    <t>0.434</t>
  </si>
  <si>
    <t>C70590</t>
  </si>
  <si>
    <t>单价</t>
  </si>
  <si>
    <t>数量</t>
  </si>
  <si>
    <t>总价</t>
  </si>
  <si>
    <t>采购方式</t>
  </si>
  <si>
    <t>EC11J1525402</t>
  </si>
  <si>
    <t>SW1</t>
  </si>
  <si>
    <t>EC11</t>
  </si>
  <si>
    <t>工坊提供</t>
  </si>
  <si>
    <t>YZA-056-5.0</t>
  </si>
  <si>
    <t>SW3</t>
  </si>
  <si>
    <t>SW-SMD_4P-L4.5-W4.5-P3.00-LS6.8</t>
  </si>
  <si>
    <t>U1</t>
  </si>
  <si>
    <t>YT2228</t>
  </si>
  <si>
    <t>QSOP-28_L9.9-W3.9-P0.64-LS6.0-BL</t>
  </si>
  <si>
    <t>思必驰提供</t>
  </si>
  <si>
    <t>ESP32-S3-WROOM-1-N16R8</t>
  </si>
  <si>
    <t>U9</t>
  </si>
  <si>
    <t>WIRELM-SMD_ESP32-S3-WROOM-1</t>
  </si>
  <si>
    <t>乐鑫采购</t>
  </si>
  <si>
    <t>ES8388</t>
  </si>
  <si>
    <t>U5</t>
  </si>
  <si>
    <t>QFN-28_L4.0-W4.0-P0.45-BL-EP</t>
  </si>
  <si>
    <t>淘宝采购</t>
  </si>
  <si>
    <t>https://item.taobao.com/item.htm?from=cart&amp;id=854692235061&amp;mi_id=00003-OJ_e8n8T9TvcaHn7MZOHuoBQQSVnbUzRGcGLHZaDs&amp;spm=a1z0d.6639537%2F202410.item.d854692235061.17587484P85HAo&amp;upStreamPrice=90</t>
  </si>
  <si>
    <t>FP6277XR-G1</t>
  </si>
  <si>
    <t>U10</t>
  </si>
  <si>
    <t>SOP-8_L4.9-W3.9-P1.27-LS6.0-BL-EP</t>
  </si>
  <si>
    <t>https://item.taobao.com/item.htm?abbucket=12&amp;id=728831850253&amp;mi_id=0000bV-u5-l4jr3inbWtS_mjS8y8IfeRXfKv40XQR1jXYV8&amp;ns=1&amp;priceTId=213e0a5917642962315085206e1ad3&amp;spm=a21n57.1.hoverItem.2&amp;utparam=%7B%22aplus_abtest%22%3A%22825028e155c0b4b34c9e2d8f184bd167%22%7D&amp;xxc=taobaoSearch</t>
  </si>
  <si>
    <t>立创商城采购</t>
  </si>
  <si>
    <t>独立采购总价</t>
  </si>
  <si>
    <t>PCBA+BOM</t>
  </si>
  <si>
    <t>合计</t>
  </si>
  <si>
    <t>单价(pcs)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</si>
</sst>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6" applyAlignment="1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item.taobao.com/item.htm?from=cart&amp;id=854692235061&amp;mi_id=00003-OJ_e8n8T9TvcaHn7MZOHuoBQQSVnbUzRGcGLHZaDs&amp;spm=a1z0d.6639537%2F202410.item.d854692235061.17587484P85HAo&amp;upStreamPrice=90" TargetMode="External"/><Relationship Id="rId1" Type="http://schemas.openxmlformats.org/officeDocument/2006/relationships/hyperlink" Target="https://item.taobao.com/item.htm?abbucket=12&amp;id=728831850253&amp;mi_id=0000bV-u5-l4jr3inbWtS_mjS8y8IfeRXfKv40XQR1jXYV8&amp;ns=1&amp;priceTId=213e0a5917642962315085206e1ad3&amp;spm=a21n57.1.hoverItem.2&amp;utparam=%7B%22aplus_abtest%22%3A%22825028e155c0b4b34c9e2d8f184bd167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zoomScale="85" zoomScaleNormal="85" topLeftCell="A11" workbookViewId="0">
      <selection activeCell="A49" sqref="$A49:$XFD49"/>
    </sheetView>
  </sheetViews>
  <sheetFormatPr defaultColWidth="9" defaultRowHeight="14"/>
  <cols>
    <col min="1" max="1" width="14" customWidth="1"/>
    <col min="2" max="2" width="27.5454545454545" customWidth="1"/>
    <col min="3" max="3" width="8.54545454545454" customWidth="1"/>
    <col min="4" max="4" width="69.1818181818182" customWidth="1"/>
    <col min="5" max="11" width="20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11</v>
      </c>
      <c r="D2" t="s">
        <v>12</v>
      </c>
      <c r="E2" t="s">
        <v>13</v>
      </c>
      <c r="F2">
        <v>16</v>
      </c>
      <c r="G2" t="s">
        <v>14</v>
      </c>
      <c r="H2" t="s">
        <v>15</v>
      </c>
      <c r="I2" t="s">
        <v>15</v>
      </c>
      <c r="J2" t="s">
        <v>16</v>
      </c>
      <c r="K2" t="s">
        <v>17</v>
      </c>
    </row>
    <row r="3" spans="1:11">
      <c r="A3">
        <v>2</v>
      </c>
      <c r="B3" t="s">
        <v>18</v>
      </c>
      <c r="C3" t="s">
        <v>18</v>
      </c>
      <c r="D3" t="s">
        <v>19</v>
      </c>
      <c r="E3" t="s">
        <v>20</v>
      </c>
      <c r="F3">
        <v>11</v>
      </c>
      <c r="G3" t="s">
        <v>14</v>
      </c>
      <c r="H3" t="s">
        <v>21</v>
      </c>
      <c r="I3" t="s">
        <v>21</v>
      </c>
      <c r="J3" t="s">
        <v>22</v>
      </c>
      <c r="K3" t="s">
        <v>17</v>
      </c>
    </row>
    <row r="4" spans="1:11">
      <c r="A4">
        <v>3</v>
      </c>
      <c r="B4" t="s">
        <v>23</v>
      </c>
      <c r="C4" t="s">
        <v>23</v>
      </c>
      <c r="D4" t="s">
        <v>24</v>
      </c>
      <c r="E4" t="s">
        <v>25</v>
      </c>
      <c r="F4">
        <v>2</v>
      </c>
      <c r="G4" t="s">
        <v>14</v>
      </c>
      <c r="H4" t="s">
        <v>26</v>
      </c>
      <c r="I4" t="s">
        <v>26</v>
      </c>
      <c r="J4" t="s">
        <v>27</v>
      </c>
      <c r="K4" t="s">
        <v>17</v>
      </c>
    </row>
    <row r="5" spans="1:11">
      <c r="A5">
        <v>4</v>
      </c>
      <c r="B5" t="s">
        <v>28</v>
      </c>
      <c r="C5" t="s">
        <v>28</v>
      </c>
      <c r="D5" t="s">
        <v>29</v>
      </c>
      <c r="E5" t="s">
        <v>30</v>
      </c>
      <c r="F5">
        <v>1</v>
      </c>
      <c r="G5" t="s">
        <v>14</v>
      </c>
      <c r="H5" t="s">
        <v>31</v>
      </c>
      <c r="I5" t="s">
        <v>31</v>
      </c>
      <c r="J5" t="s">
        <v>32</v>
      </c>
      <c r="K5" t="s">
        <v>17</v>
      </c>
    </row>
    <row r="6" spans="1:11">
      <c r="A6">
        <v>5</v>
      </c>
      <c r="B6" t="s">
        <v>33</v>
      </c>
      <c r="C6" t="s">
        <v>33</v>
      </c>
      <c r="D6" t="s">
        <v>34</v>
      </c>
      <c r="E6" t="s">
        <v>35</v>
      </c>
      <c r="F6">
        <v>12</v>
      </c>
      <c r="G6" t="s">
        <v>14</v>
      </c>
      <c r="H6" t="s">
        <v>36</v>
      </c>
      <c r="I6" t="s">
        <v>36</v>
      </c>
      <c r="J6" t="s">
        <v>37</v>
      </c>
      <c r="K6" t="s">
        <v>17</v>
      </c>
    </row>
    <row r="7" spans="1:11">
      <c r="A7">
        <v>6</v>
      </c>
      <c r="B7" t="s">
        <v>38</v>
      </c>
      <c r="C7" t="s">
        <v>38</v>
      </c>
      <c r="D7" t="s">
        <v>39</v>
      </c>
      <c r="E7" t="s">
        <v>40</v>
      </c>
      <c r="F7">
        <v>1</v>
      </c>
      <c r="G7" t="s">
        <v>14</v>
      </c>
      <c r="H7" t="s">
        <v>41</v>
      </c>
      <c r="I7" t="s">
        <v>41</v>
      </c>
      <c r="J7" t="s">
        <v>42</v>
      </c>
      <c r="K7" t="s">
        <v>17</v>
      </c>
    </row>
    <row r="8" spans="1:11">
      <c r="A8">
        <v>7</v>
      </c>
      <c r="B8" t="s">
        <v>43</v>
      </c>
      <c r="C8" t="s">
        <v>43</v>
      </c>
      <c r="D8" t="s">
        <v>44</v>
      </c>
      <c r="E8" t="s">
        <v>45</v>
      </c>
      <c r="F8">
        <v>1</v>
      </c>
      <c r="G8" t="s">
        <v>14</v>
      </c>
      <c r="H8" t="s">
        <v>46</v>
      </c>
      <c r="I8" t="s">
        <v>46</v>
      </c>
      <c r="J8" t="s">
        <v>47</v>
      </c>
      <c r="K8" t="s">
        <v>17</v>
      </c>
    </row>
    <row r="9" spans="1:11">
      <c r="A9">
        <v>8</v>
      </c>
      <c r="B9" t="s">
        <v>48</v>
      </c>
      <c r="C9" t="s">
        <v>48</v>
      </c>
      <c r="D9" t="s">
        <v>49</v>
      </c>
      <c r="E9" t="s">
        <v>50</v>
      </c>
      <c r="F9">
        <v>2</v>
      </c>
      <c r="G9" t="s">
        <v>51</v>
      </c>
      <c r="H9" t="s">
        <v>52</v>
      </c>
      <c r="I9" t="s">
        <v>53</v>
      </c>
      <c r="J9" t="s">
        <v>54</v>
      </c>
      <c r="K9" t="s">
        <v>17</v>
      </c>
    </row>
    <row r="10" spans="1:11">
      <c r="A10">
        <v>9</v>
      </c>
      <c r="B10" t="s">
        <v>11</v>
      </c>
      <c r="C10" t="s">
        <v>11</v>
      </c>
      <c r="D10" t="s">
        <v>55</v>
      </c>
      <c r="E10" t="s">
        <v>56</v>
      </c>
      <c r="F10">
        <v>2</v>
      </c>
      <c r="G10" t="s">
        <v>57</v>
      </c>
      <c r="H10" t="s">
        <v>58</v>
      </c>
      <c r="I10" t="s">
        <v>58</v>
      </c>
      <c r="J10" t="s">
        <v>59</v>
      </c>
      <c r="K10" t="s">
        <v>17</v>
      </c>
    </row>
    <row r="11" spans="1:11">
      <c r="A11">
        <v>10</v>
      </c>
      <c r="B11" t="s">
        <v>60</v>
      </c>
      <c r="C11" t="s">
        <v>60</v>
      </c>
      <c r="D11" t="s">
        <v>61</v>
      </c>
      <c r="E11" t="s">
        <v>62</v>
      </c>
      <c r="F11">
        <v>1</v>
      </c>
      <c r="G11" t="s">
        <v>14</v>
      </c>
      <c r="H11" t="s">
        <v>63</v>
      </c>
      <c r="I11" t="s">
        <v>63</v>
      </c>
      <c r="J11" t="s">
        <v>64</v>
      </c>
      <c r="K11" t="s">
        <v>17</v>
      </c>
    </row>
    <row r="12" spans="1:11">
      <c r="A12">
        <v>11</v>
      </c>
      <c r="B12" t="s">
        <v>65</v>
      </c>
      <c r="C12" t="s">
        <v>66</v>
      </c>
      <c r="D12" t="s">
        <v>67</v>
      </c>
      <c r="E12" t="s">
        <v>68</v>
      </c>
      <c r="F12">
        <v>2</v>
      </c>
      <c r="G12" t="s">
        <v>69</v>
      </c>
      <c r="H12" t="s">
        <v>70</v>
      </c>
      <c r="I12" t="s">
        <v>70</v>
      </c>
      <c r="J12" t="s">
        <v>71</v>
      </c>
      <c r="K12" t="s">
        <v>17</v>
      </c>
    </row>
    <row r="13" spans="1:11">
      <c r="A13">
        <v>12</v>
      </c>
      <c r="B13" t="s">
        <v>72</v>
      </c>
      <c r="C13" t="s">
        <v>66</v>
      </c>
      <c r="D13" t="s">
        <v>73</v>
      </c>
      <c r="E13" t="s">
        <v>74</v>
      </c>
      <c r="F13">
        <v>2</v>
      </c>
      <c r="G13" t="s">
        <v>75</v>
      </c>
      <c r="H13" t="s">
        <v>76</v>
      </c>
      <c r="I13" t="s">
        <v>76</v>
      </c>
      <c r="J13" t="s">
        <v>77</v>
      </c>
      <c r="K13" t="s">
        <v>17</v>
      </c>
    </row>
    <row r="14" spans="1:11">
      <c r="A14">
        <v>13</v>
      </c>
      <c r="B14" t="s">
        <v>78</v>
      </c>
      <c r="C14" t="s">
        <v>66</v>
      </c>
      <c r="D14" t="s">
        <v>79</v>
      </c>
      <c r="E14" t="s">
        <v>78</v>
      </c>
      <c r="F14">
        <v>1</v>
      </c>
      <c r="G14" t="s">
        <v>80</v>
      </c>
      <c r="H14" t="s">
        <v>81</v>
      </c>
      <c r="I14" t="s">
        <v>82</v>
      </c>
      <c r="J14" t="s">
        <v>83</v>
      </c>
      <c r="K14" t="s">
        <v>17</v>
      </c>
    </row>
    <row r="15" spans="1:11">
      <c r="A15">
        <v>14</v>
      </c>
      <c r="B15" t="s">
        <v>84</v>
      </c>
      <c r="C15" t="s">
        <v>66</v>
      </c>
      <c r="D15" t="s">
        <v>85</v>
      </c>
      <c r="E15" t="s">
        <v>84</v>
      </c>
      <c r="F15">
        <v>1</v>
      </c>
      <c r="G15" t="s">
        <v>86</v>
      </c>
      <c r="H15" t="s">
        <v>87</v>
      </c>
      <c r="I15" t="s">
        <v>87</v>
      </c>
      <c r="J15" t="s">
        <v>88</v>
      </c>
      <c r="K15" t="s">
        <v>17</v>
      </c>
    </row>
    <row r="16" spans="1:11">
      <c r="A16">
        <v>15</v>
      </c>
      <c r="B16" t="s">
        <v>89</v>
      </c>
      <c r="C16" t="s">
        <v>66</v>
      </c>
      <c r="D16" t="s">
        <v>90</v>
      </c>
      <c r="E16" t="s">
        <v>89</v>
      </c>
      <c r="F16">
        <v>1</v>
      </c>
      <c r="G16" t="s">
        <v>91</v>
      </c>
      <c r="H16" t="s">
        <v>92</v>
      </c>
      <c r="I16" t="s">
        <v>93</v>
      </c>
      <c r="J16" t="s">
        <v>94</v>
      </c>
      <c r="K16" t="s">
        <v>17</v>
      </c>
    </row>
    <row r="17" spans="1:11">
      <c r="A17">
        <v>16</v>
      </c>
      <c r="B17" t="s">
        <v>95</v>
      </c>
      <c r="C17" t="s">
        <v>95</v>
      </c>
      <c r="D17" t="s">
        <v>96</v>
      </c>
      <c r="E17" t="s">
        <v>97</v>
      </c>
      <c r="F17">
        <v>1</v>
      </c>
      <c r="G17" t="s">
        <v>98</v>
      </c>
      <c r="H17" t="s">
        <v>99</v>
      </c>
      <c r="I17" t="s">
        <v>100</v>
      </c>
      <c r="J17" t="s">
        <v>101</v>
      </c>
      <c r="K17" t="s">
        <v>17</v>
      </c>
    </row>
    <row r="18" spans="1:11">
      <c r="A18">
        <v>17</v>
      </c>
      <c r="B18" t="s">
        <v>102</v>
      </c>
      <c r="C18" t="s">
        <v>66</v>
      </c>
      <c r="D18" t="s">
        <v>103</v>
      </c>
      <c r="E18" t="s">
        <v>102</v>
      </c>
      <c r="F18">
        <v>3</v>
      </c>
      <c r="G18" t="s">
        <v>104</v>
      </c>
      <c r="H18" t="s">
        <v>105</v>
      </c>
      <c r="I18" t="s">
        <v>106</v>
      </c>
      <c r="J18" t="s">
        <v>107</v>
      </c>
      <c r="K18" t="s">
        <v>17</v>
      </c>
    </row>
    <row r="19" spans="1:11">
      <c r="A19">
        <v>18</v>
      </c>
      <c r="B19" t="s">
        <v>108</v>
      </c>
      <c r="C19" t="s">
        <v>66</v>
      </c>
      <c r="D19" t="s">
        <v>109</v>
      </c>
      <c r="E19" t="s">
        <v>108</v>
      </c>
      <c r="F19">
        <v>1</v>
      </c>
      <c r="G19" t="s">
        <v>110</v>
      </c>
      <c r="H19" t="s">
        <v>111</v>
      </c>
      <c r="I19" t="s">
        <v>112</v>
      </c>
      <c r="J19" t="s">
        <v>113</v>
      </c>
      <c r="K19" t="s">
        <v>17</v>
      </c>
    </row>
    <row r="20" spans="1:11">
      <c r="A20">
        <v>19</v>
      </c>
      <c r="B20" t="s">
        <v>114</v>
      </c>
      <c r="C20" t="s">
        <v>66</v>
      </c>
      <c r="D20" t="s">
        <v>115</v>
      </c>
      <c r="E20" t="s">
        <v>114</v>
      </c>
      <c r="F20">
        <v>1</v>
      </c>
      <c r="G20" t="s">
        <v>116</v>
      </c>
      <c r="H20" t="s">
        <v>117</v>
      </c>
      <c r="I20" t="s">
        <v>118</v>
      </c>
      <c r="J20" t="s">
        <v>119</v>
      </c>
      <c r="K20" t="s">
        <v>17</v>
      </c>
    </row>
    <row r="21" spans="1:11">
      <c r="A21">
        <v>20</v>
      </c>
      <c r="B21" t="s">
        <v>120</v>
      </c>
      <c r="C21" t="s">
        <v>66</v>
      </c>
      <c r="D21" t="s">
        <v>121</v>
      </c>
      <c r="E21" t="s">
        <v>120</v>
      </c>
      <c r="F21">
        <v>1</v>
      </c>
      <c r="G21" t="s">
        <v>122</v>
      </c>
      <c r="H21" t="s">
        <v>123</v>
      </c>
      <c r="I21" t="s">
        <v>123</v>
      </c>
      <c r="J21" t="s">
        <v>124</v>
      </c>
      <c r="K21" t="s">
        <v>17</v>
      </c>
    </row>
    <row r="22" spans="1:11">
      <c r="A22">
        <v>21</v>
      </c>
      <c r="B22" t="s">
        <v>125</v>
      </c>
      <c r="C22" t="s">
        <v>125</v>
      </c>
      <c r="D22" t="s">
        <v>126</v>
      </c>
      <c r="E22" t="s">
        <v>127</v>
      </c>
      <c r="F22">
        <v>1</v>
      </c>
      <c r="G22" t="s">
        <v>128</v>
      </c>
      <c r="H22" t="s">
        <v>129</v>
      </c>
      <c r="I22" t="s">
        <v>130</v>
      </c>
      <c r="J22" t="s">
        <v>131</v>
      </c>
      <c r="K22" t="s">
        <v>17</v>
      </c>
    </row>
    <row r="23" spans="1:11">
      <c r="A23">
        <v>22</v>
      </c>
      <c r="B23" t="s">
        <v>132</v>
      </c>
      <c r="C23" t="s">
        <v>66</v>
      </c>
      <c r="D23" t="s">
        <v>133</v>
      </c>
      <c r="E23" t="s">
        <v>132</v>
      </c>
      <c r="F23">
        <v>1</v>
      </c>
      <c r="G23" t="s">
        <v>134</v>
      </c>
      <c r="H23" t="s">
        <v>135</v>
      </c>
      <c r="I23" t="s">
        <v>135</v>
      </c>
      <c r="J23" t="s">
        <v>136</v>
      </c>
      <c r="K23" t="s">
        <v>17</v>
      </c>
    </row>
    <row r="24" spans="1:11">
      <c r="A24">
        <v>23</v>
      </c>
      <c r="B24" t="s">
        <v>137</v>
      </c>
      <c r="C24" t="s">
        <v>66</v>
      </c>
      <c r="D24" t="s">
        <v>138</v>
      </c>
      <c r="E24" t="s">
        <v>137</v>
      </c>
      <c r="F24">
        <v>1</v>
      </c>
      <c r="G24" t="s">
        <v>139</v>
      </c>
      <c r="H24" t="s">
        <v>140</v>
      </c>
      <c r="I24" t="s">
        <v>140</v>
      </c>
      <c r="J24" t="s">
        <v>141</v>
      </c>
      <c r="K24" t="s">
        <v>17</v>
      </c>
    </row>
    <row r="25" spans="1:11">
      <c r="A25">
        <v>24</v>
      </c>
      <c r="B25" t="s">
        <v>142</v>
      </c>
      <c r="C25" t="s">
        <v>66</v>
      </c>
      <c r="D25" t="s">
        <v>143</v>
      </c>
      <c r="E25" t="s">
        <v>144</v>
      </c>
      <c r="F25">
        <v>1</v>
      </c>
      <c r="G25" t="s">
        <v>145</v>
      </c>
      <c r="H25" t="s">
        <v>146</v>
      </c>
      <c r="I25" t="s">
        <v>147</v>
      </c>
      <c r="J25" t="s">
        <v>148</v>
      </c>
      <c r="K25" t="s">
        <v>17</v>
      </c>
    </row>
    <row r="26" spans="1:11">
      <c r="A26">
        <v>25</v>
      </c>
      <c r="B26" t="s">
        <v>149</v>
      </c>
      <c r="C26" t="s">
        <v>66</v>
      </c>
      <c r="D26" t="s">
        <v>150</v>
      </c>
      <c r="E26" t="s">
        <v>149</v>
      </c>
      <c r="F26">
        <v>1</v>
      </c>
      <c r="G26" t="s">
        <v>145</v>
      </c>
      <c r="H26" t="s">
        <v>151</v>
      </c>
      <c r="I26" t="s">
        <v>152</v>
      </c>
      <c r="J26" t="s">
        <v>153</v>
      </c>
      <c r="K26" t="s">
        <v>17</v>
      </c>
    </row>
    <row r="27" spans="1:11">
      <c r="A27">
        <v>26</v>
      </c>
      <c r="B27" t="s">
        <v>154</v>
      </c>
      <c r="C27" t="s">
        <v>66</v>
      </c>
      <c r="D27" t="s">
        <v>155</v>
      </c>
      <c r="E27" t="s">
        <v>154</v>
      </c>
      <c r="F27">
        <v>2</v>
      </c>
      <c r="G27" t="s">
        <v>145</v>
      </c>
      <c r="H27" t="s">
        <v>156</v>
      </c>
      <c r="I27" t="s">
        <v>156</v>
      </c>
      <c r="J27" t="s">
        <v>157</v>
      </c>
      <c r="K27" t="s">
        <v>17</v>
      </c>
    </row>
    <row r="28" spans="1:11">
      <c r="A28">
        <v>27</v>
      </c>
      <c r="B28" t="s">
        <v>158</v>
      </c>
      <c r="C28" t="s">
        <v>158</v>
      </c>
      <c r="D28" t="s">
        <v>159</v>
      </c>
      <c r="E28" t="s">
        <v>160</v>
      </c>
      <c r="F28">
        <v>1</v>
      </c>
      <c r="G28" t="s">
        <v>161</v>
      </c>
      <c r="H28" t="s">
        <v>162</v>
      </c>
      <c r="I28" t="s">
        <v>162</v>
      </c>
      <c r="J28" t="s">
        <v>163</v>
      </c>
      <c r="K28" t="s">
        <v>17</v>
      </c>
    </row>
    <row r="29" spans="1:11">
      <c r="A29">
        <v>28</v>
      </c>
      <c r="B29" t="s">
        <v>164</v>
      </c>
      <c r="C29" t="s">
        <v>164</v>
      </c>
      <c r="D29" t="s">
        <v>165</v>
      </c>
      <c r="E29" t="s">
        <v>166</v>
      </c>
      <c r="F29">
        <v>4</v>
      </c>
      <c r="G29" t="s">
        <v>161</v>
      </c>
      <c r="H29" t="s">
        <v>167</v>
      </c>
      <c r="I29" t="s">
        <v>167</v>
      </c>
      <c r="J29" t="s">
        <v>168</v>
      </c>
      <c r="K29" t="s">
        <v>17</v>
      </c>
    </row>
    <row r="30" spans="1:11">
      <c r="A30">
        <v>29</v>
      </c>
      <c r="B30" t="s">
        <v>169</v>
      </c>
      <c r="C30" t="s">
        <v>169</v>
      </c>
      <c r="D30" t="s">
        <v>170</v>
      </c>
      <c r="E30" t="s">
        <v>171</v>
      </c>
      <c r="F30">
        <v>5</v>
      </c>
      <c r="G30" t="s">
        <v>161</v>
      </c>
      <c r="H30" t="s">
        <v>167</v>
      </c>
      <c r="I30" t="s">
        <v>167</v>
      </c>
      <c r="J30" t="s">
        <v>172</v>
      </c>
      <c r="K30" t="s">
        <v>17</v>
      </c>
    </row>
    <row r="31" spans="1:11">
      <c r="A31">
        <v>30</v>
      </c>
      <c r="B31" t="s">
        <v>173</v>
      </c>
      <c r="C31" t="s">
        <v>173</v>
      </c>
      <c r="D31" t="s">
        <v>174</v>
      </c>
      <c r="E31" t="s">
        <v>175</v>
      </c>
      <c r="F31">
        <v>16</v>
      </c>
      <c r="G31" t="s">
        <v>161</v>
      </c>
      <c r="H31" t="s">
        <v>162</v>
      </c>
      <c r="I31" t="s">
        <v>162</v>
      </c>
      <c r="J31" t="s">
        <v>176</v>
      </c>
      <c r="K31" t="s">
        <v>17</v>
      </c>
    </row>
    <row r="32" spans="1:11">
      <c r="A32">
        <v>31</v>
      </c>
      <c r="B32" t="s">
        <v>177</v>
      </c>
      <c r="C32" t="s">
        <v>177</v>
      </c>
      <c r="D32" t="s">
        <v>178</v>
      </c>
      <c r="E32" t="s">
        <v>179</v>
      </c>
      <c r="F32">
        <v>2</v>
      </c>
      <c r="G32" t="s">
        <v>161</v>
      </c>
      <c r="H32" t="s">
        <v>180</v>
      </c>
      <c r="I32" t="s">
        <v>180</v>
      </c>
      <c r="J32" t="s">
        <v>181</v>
      </c>
      <c r="K32" t="s">
        <v>17</v>
      </c>
    </row>
    <row r="33" spans="1:11">
      <c r="A33">
        <v>32</v>
      </c>
      <c r="B33" t="s">
        <v>182</v>
      </c>
      <c r="C33" t="s">
        <v>182</v>
      </c>
      <c r="D33" t="s">
        <v>183</v>
      </c>
      <c r="E33" t="s">
        <v>184</v>
      </c>
      <c r="F33">
        <v>4</v>
      </c>
      <c r="G33" t="s">
        <v>185</v>
      </c>
      <c r="H33" t="s">
        <v>186</v>
      </c>
      <c r="I33" t="s">
        <v>186</v>
      </c>
      <c r="J33" t="s">
        <v>187</v>
      </c>
      <c r="K33" t="s">
        <v>17</v>
      </c>
    </row>
    <row r="34" spans="1:11">
      <c r="A34">
        <v>33</v>
      </c>
      <c r="B34" t="s">
        <v>188</v>
      </c>
      <c r="C34" t="s">
        <v>188</v>
      </c>
      <c r="D34" t="s">
        <v>189</v>
      </c>
      <c r="E34" t="s">
        <v>190</v>
      </c>
      <c r="F34">
        <v>1</v>
      </c>
      <c r="G34" t="s">
        <v>185</v>
      </c>
      <c r="H34" t="s">
        <v>191</v>
      </c>
      <c r="I34" t="s">
        <v>191</v>
      </c>
      <c r="J34" t="s">
        <v>192</v>
      </c>
      <c r="K34" t="s">
        <v>17</v>
      </c>
    </row>
    <row r="35" spans="1:11">
      <c r="A35">
        <v>34</v>
      </c>
      <c r="B35" t="s">
        <v>182</v>
      </c>
      <c r="C35" t="s">
        <v>182</v>
      </c>
      <c r="D35" t="s">
        <v>193</v>
      </c>
      <c r="E35" t="s">
        <v>194</v>
      </c>
      <c r="F35">
        <v>1</v>
      </c>
      <c r="G35" t="s">
        <v>161</v>
      </c>
      <c r="H35" t="s">
        <v>180</v>
      </c>
      <c r="I35" t="s">
        <v>180</v>
      </c>
      <c r="J35" t="s">
        <v>195</v>
      </c>
      <c r="K35" t="s">
        <v>17</v>
      </c>
    </row>
    <row r="36" spans="1:11">
      <c r="A36">
        <v>35</v>
      </c>
      <c r="B36" t="s">
        <v>196</v>
      </c>
      <c r="C36" t="s">
        <v>196</v>
      </c>
      <c r="D36" t="s">
        <v>197</v>
      </c>
      <c r="E36" t="s">
        <v>198</v>
      </c>
      <c r="F36">
        <v>3</v>
      </c>
      <c r="G36" t="s">
        <v>161</v>
      </c>
      <c r="H36" t="s">
        <v>199</v>
      </c>
      <c r="I36" t="s">
        <v>199</v>
      </c>
      <c r="J36" t="s">
        <v>200</v>
      </c>
      <c r="K36" t="s">
        <v>17</v>
      </c>
    </row>
    <row r="37" spans="1:11">
      <c r="A37">
        <v>36</v>
      </c>
      <c r="B37" t="s">
        <v>201</v>
      </c>
      <c r="C37" t="s">
        <v>201</v>
      </c>
      <c r="D37" t="s">
        <v>202</v>
      </c>
      <c r="E37" t="s">
        <v>203</v>
      </c>
      <c r="F37">
        <v>1</v>
      </c>
      <c r="G37" t="s">
        <v>161</v>
      </c>
      <c r="H37" t="s">
        <v>162</v>
      </c>
      <c r="I37" t="s">
        <v>162</v>
      </c>
      <c r="J37" t="s">
        <v>204</v>
      </c>
      <c r="K37" t="s">
        <v>17</v>
      </c>
    </row>
    <row r="38" spans="1:11">
      <c r="A38">
        <v>37</v>
      </c>
      <c r="B38" t="s">
        <v>205</v>
      </c>
      <c r="C38" t="s">
        <v>205</v>
      </c>
      <c r="D38" t="s">
        <v>206</v>
      </c>
      <c r="E38" t="s">
        <v>207</v>
      </c>
      <c r="F38">
        <v>1</v>
      </c>
      <c r="G38" t="s">
        <v>161</v>
      </c>
      <c r="H38" t="s">
        <v>167</v>
      </c>
      <c r="I38" t="s">
        <v>167</v>
      </c>
      <c r="J38" t="s">
        <v>208</v>
      </c>
      <c r="K38" t="s">
        <v>17</v>
      </c>
    </row>
    <row r="39" spans="1:11">
      <c r="A39">
        <v>38</v>
      </c>
      <c r="B39" t="s">
        <v>209</v>
      </c>
      <c r="C39" t="s">
        <v>209</v>
      </c>
      <c r="D39" t="s">
        <v>210</v>
      </c>
      <c r="E39" t="s">
        <v>211</v>
      </c>
      <c r="F39">
        <v>4</v>
      </c>
      <c r="G39" t="s">
        <v>161</v>
      </c>
      <c r="H39" t="s">
        <v>212</v>
      </c>
      <c r="I39" t="s">
        <v>212</v>
      </c>
      <c r="J39" t="s">
        <v>213</v>
      </c>
      <c r="K39" t="s">
        <v>17</v>
      </c>
    </row>
    <row r="40" spans="1:11">
      <c r="A40">
        <v>39</v>
      </c>
      <c r="B40" t="s">
        <v>214</v>
      </c>
      <c r="C40" t="s">
        <v>214</v>
      </c>
      <c r="D40" t="s">
        <v>215</v>
      </c>
      <c r="E40" t="s">
        <v>216</v>
      </c>
      <c r="F40">
        <v>1</v>
      </c>
      <c r="G40" t="s">
        <v>161</v>
      </c>
      <c r="H40" t="s">
        <v>217</v>
      </c>
      <c r="I40" t="s">
        <v>217</v>
      </c>
      <c r="J40" t="s">
        <v>218</v>
      </c>
      <c r="K40" t="s">
        <v>17</v>
      </c>
    </row>
    <row r="41" spans="1:11">
      <c r="A41">
        <v>40</v>
      </c>
      <c r="B41" t="s">
        <v>219</v>
      </c>
      <c r="C41" t="s">
        <v>219</v>
      </c>
      <c r="D41" t="s">
        <v>220</v>
      </c>
      <c r="E41" t="s">
        <v>221</v>
      </c>
      <c r="F41">
        <v>1</v>
      </c>
      <c r="G41" t="s">
        <v>161</v>
      </c>
      <c r="H41" t="s">
        <v>222</v>
      </c>
      <c r="I41" t="s">
        <v>222</v>
      </c>
      <c r="J41" t="s">
        <v>223</v>
      </c>
      <c r="K41" t="s">
        <v>17</v>
      </c>
    </row>
    <row r="42" spans="1:11">
      <c r="A42">
        <v>41</v>
      </c>
      <c r="B42" t="s">
        <v>224</v>
      </c>
      <c r="C42" t="s">
        <v>224</v>
      </c>
      <c r="D42" t="s">
        <v>225</v>
      </c>
      <c r="E42" t="s">
        <v>226</v>
      </c>
      <c r="F42">
        <v>1</v>
      </c>
      <c r="G42" t="s">
        <v>161</v>
      </c>
      <c r="H42" t="s">
        <v>167</v>
      </c>
      <c r="I42" t="s">
        <v>167</v>
      </c>
      <c r="J42" t="s">
        <v>227</v>
      </c>
      <c r="K42" t="s">
        <v>17</v>
      </c>
    </row>
    <row r="43" spans="1:11">
      <c r="A43">
        <v>42</v>
      </c>
      <c r="B43" t="s">
        <v>228</v>
      </c>
      <c r="C43" t="s">
        <v>228</v>
      </c>
      <c r="D43" t="s">
        <v>229</v>
      </c>
      <c r="E43" t="s">
        <v>230</v>
      </c>
      <c r="F43">
        <v>1</v>
      </c>
      <c r="G43" t="s">
        <v>161</v>
      </c>
      <c r="H43" t="s">
        <v>167</v>
      </c>
      <c r="I43" t="s">
        <v>167</v>
      </c>
      <c r="J43" t="s">
        <v>231</v>
      </c>
      <c r="K43" t="s">
        <v>17</v>
      </c>
    </row>
    <row r="44" spans="1:11">
      <c r="A44">
        <v>43</v>
      </c>
      <c r="B44" t="s">
        <v>232</v>
      </c>
      <c r="C44" t="s">
        <v>232</v>
      </c>
      <c r="D44" t="s">
        <v>233</v>
      </c>
      <c r="E44" t="s">
        <v>234</v>
      </c>
      <c r="F44">
        <v>1</v>
      </c>
      <c r="G44" t="s">
        <v>161</v>
      </c>
      <c r="H44" t="s">
        <v>235</v>
      </c>
      <c r="I44" t="s">
        <v>235</v>
      </c>
      <c r="J44" t="s">
        <v>236</v>
      </c>
      <c r="K44" t="s">
        <v>17</v>
      </c>
    </row>
    <row r="45" spans="1:11">
      <c r="A45">
        <v>44</v>
      </c>
      <c r="B45" t="s">
        <v>237</v>
      </c>
      <c r="C45" t="s">
        <v>237</v>
      </c>
      <c r="D45" t="s">
        <v>238</v>
      </c>
      <c r="E45" t="s">
        <v>239</v>
      </c>
      <c r="F45">
        <v>1</v>
      </c>
      <c r="G45" t="s">
        <v>161</v>
      </c>
      <c r="H45" t="s">
        <v>222</v>
      </c>
      <c r="I45" t="s">
        <v>222</v>
      </c>
      <c r="J45" t="s">
        <v>240</v>
      </c>
      <c r="K45" t="s">
        <v>17</v>
      </c>
    </row>
    <row r="46" spans="1:11">
      <c r="A46">
        <v>45</v>
      </c>
      <c r="B46" t="s">
        <v>164</v>
      </c>
      <c r="C46" t="s">
        <v>164</v>
      </c>
      <c r="D46" t="s">
        <v>241</v>
      </c>
      <c r="E46" t="s">
        <v>242</v>
      </c>
      <c r="F46">
        <v>1</v>
      </c>
      <c r="G46" t="s">
        <v>185</v>
      </c>
      <c r="H46" t="s">
        <v>243</v>
      </c>
      <c r="I46" t="s">
        <v>243</v>
      </c>
      <c r="J46" t="s">
        <v>244</v>
      </c>
      <c r="K46" t="s">
        <v>17</v>
      </c>
    </row>
    <row r="47" spans="1:11">
      <c r="A47">
        <v>46</v>
      </c>
      <c r="B47" t="s">
        <v>245</v>
      </c>
      <c r="C47" t="s">
        <v>66</v>
      </c>
      <c r="D47" t="s">
        <v>246</v>
      </c>
      <c r="E47" t="s">
        <v>245</v>
      </c>
      <c r="F47">
        <v>2</v>
      </c>
      <c r="G47" t="s">
        <v>247</v>
      </c>
      <c r="H47" t="s">
        <v>248</v>
      </c>
      <c r="I47" t="s">
        <v>248</v>
      </c>
      <c r="J47" t="s">
        <v>249</v>
      </c>
      <c r="K47" t="s">
        <v>17</v>
      </c>
    </row>
    <row r="49" spans="1:11">
      <c r="A49">
        <v>48</v>
      </c>
      <c r="B49" t="s">
        <v>250</v>
      </c>
      <c r="C49" t="s">
        <v>66</v>
      </c>
      <c r="D49" t="s">
        <v>251</v>
      </c>
      <c r="E49" t="s">
        <v>250</v>
      </c>
      <c r="F49">
        <v>1</v>
      </c>
      <c r="G49" t="s">
        <v>252</v>
      </c>
      <c r="H49" t="s">
        <v>253</v>
      </c>
      <c r="I49" t="s">
        <v>253</v>
      </c>
      <c r="J49" t="s">
        <v>254</v>
      </c>
      <c r="K49" t="s">
        <v>17</v>
      </c>
    </row>
    <row r="50" spans="1:11">
      <c r="A50">
        <v>49</v>
      </c>
      <c r="B50" t="s">
        <v>255</v>
      </c>
      <c r="C50" t="s">
        <v>66</v>
      </c>
      <c r="D50" t="s">
        <v>256</v>
      </c>
      <c r="E50" t="s">
        <v>255</v>
      </c>
      <c r="F50">
        <v>1</v>
      </c>
      <c r="G50" t="s">
        <v>257</v>
      </c>
      <c r="H50" t="s">
        <v>258</v>
      </c>
      <c r="I50" t="s">
        <v>66</v>
      </c>
      <c r="J50" t="s">
        <v>259</v>
      </c>
      <c r="K50" t="s">
        <v>17</v>
      </c>
    </row>
    <row r="51" spans="1:11">
      <c r="A51">
        <v>50</v>
      </c>
      <c r="B51" t="s">
        <v>260</v>
      </c>
      <c r="C51" t="s">
        <v>66</v>
      </c>
      <c r="D51" t="s">
        <v>261</v>
      </c>
      <c r="E51" t="s">
        <v>260</v>
      </c>
      <c r="F51">
        <v>1</v>
      </c>
      <c r="G51" t="s">
        <v>262</v>
      </c>
      <c r="H51" t="s">
        <v>263</v>
      </c>
      <c r="I51" t="s">
        <v>264</v>
      </c>
      <c r="J51" t="s">
        <v>265</v>
      </c>
      <c r="K51" t="s">
        <v>17</v>
      </c>
    </row>
    <row r="52" spans="1:11">
      <c r="A52">
        <v>51</v>
      </c>
      <c r="B52" t="s">
        <v>266</v>
      </c>
      <c r="C52" t="s">
        <v>66</v>
      </c>
      <c r="D52" t="s">
        <v>267</v>
      </c>
      <c r="E52" t="s">
        <v>266</v>
      </c>
      <c r="F52">
        <v>1</v>
      </c>
      <c r="G52" t="s">
        <v>268</v>
      </c>
      <c r="H52" t="s">
        <v>269</v>
      </c>
      <c r="I52" t="s">
        <v>270</v>
      </c>
      <c r="J52" t="s">
        <v>271</v>
      </c>
      <c r="K52" t="s">
        <v>17</v>
      </c>
    </row>
    <row r="53" spans="1:11">
      <c r="A53">
        <v>52</v>
      </c>
      <c r="B53" t="s">
        <v>272</v>
      </c>
      <c r="C53" t="s">
        <v>66</v>
      </c>
      <c r="D53" t="s">
        <v>273</v>
      </c>
      <c r="E53" t="s">
        <v>272</v>
      </c>
      <c r="F53">
        <v>1</v>
      </c>
      <c r="G53" t="s">
        <v>274</v>
      </c>
      <c r="H53" t="s">
        <v>275</v>
      </c>
      <c r="I53" t="s">
        <v>275</v>
      </c>
      <c r="J53" t="s">
        <v>276</v>
      </c>
      <c r="K53" t="s">
        <v>17</v>
      </c>
    </row>
    <row r="54" spans="1:11">
      <c r="A54">
        <v>53</v>
      </c>
      <c r="B54" t="s">
        <v>277</v>
      </c>
      <c r="C54" t="s">
        <v>277</v>
      </c>
      <c r="D54" t="s">
        <v>278</v>
      </c>
      <c r="E54" t="s">
        <v>279</v>
      </c>
      <c r="F54">
        <v>1</v>
      </c>
      <c r="G54" t="s">
        <v>280</v>
      </c>
      <c r="H54" t="s">
        <v>281</v>
      </c>
      <c r="I54" t="s">
        <v>282</v>
      </c>
      <c r="J54" t="s">
        <v>283</v>
      </c>
      <c r="K54" t="s">
        <v>17</v>
      </c>
    </row>
    <row r="55" spans="1:11">
      <c r="A55" t="s">
        <v>66</v>
      </c>
    </row>
  </sheetData>
  <printOptions gridLines="1"/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tabSelected="1" workbookViewId="0">
      <selection activeCell="G14" sqref="G14"/>
    </sheetView>
  </sheetViews>
  <sheetFormatPr defaultColWidth="8.72727272727273" defaultRowHeight="14"/>
  <cols>
    <col min="2" max="2" width="25.2727272727273" customWidth="1"/>
    <col min="5" max="5" width="12.8181818181818" customWidth="1"/>
    <col min="7" max="7" width="37.6363636363636" customWidth="1"/>
    <col min="8" max="8" width="6.54545454545455" customWidth="1"/>
    <col min="11" max="11" width="10.6363636363636" customWidth="1"/>
    <col min="12" max="12" width="12.8181818181818"/>
    <col min="14" max="14" width="17.8181818181818" customWidth="1"/>
  </cols>
  <sheetData>
    <row r="1" spans="1:15">
      <c r="H1" t="s">
        <v>284</v>
      </c>
      <c r="I1" t="s">
        <v>285</v>
      </c>
      <c r="L1" t="s">
        <v>286</v>
      </c>
      <c r="N1" t="s">
        <v>287</v>
      </c>
    </row>
    <row r="2" spans="1:15">
      <c r="A2">
        <v>1</v>
      </c>
      <c r="B2" t="s">
        <v>288</v>
      </c>
      <c r="D2" t="s">
        <v>289</v>
      </c>
      <c r="E2" t="s">
        <v>288</v>
      </c>
      <c r="F2">
        <v>1</v>
      </c>
      <c r="G2" t="s">
        <v>290</v>
      </c>
      <c r="N2" t="s">
        <v>291</v>
      </c>
    </row>
    <row r="3" spans="1:15">
      <c r="A3">
        <v>5</v>
      </c>
      <c r="B3" t="s">
        <v>292</v>
      </c>
      <c r="C3" t="s">
        <v>66</v>
      </c>
      <c r="D3" t="s">
        <v>293</v>
      </c>
      <c r="E3" t="s">
        <v>292</v>
      </c>
      <c r="F3">
        <v>1</v>
      </c>
      <c r="G3" t="s">
        <v>294</v>
      </c>
      <c r="N3" t="s">
        <v>291</v>
      </c>
    </row>
    <row r="4" spans="1:15">
      <c r="A4">
        <v>3</v>
      </c>
      <c r="D4" t="s">
        <v>295</v>
      </c>
      <c r="E4" t="s">
        <v>296</v>
      </c>
      <c r="F4">
        <v>1</v>
      </c>
      <c r="G4" t="s">
        <v>297</v>
      </c>
      <c r="H4">
        <v>4.2</v>
      </c>
      <c r="I4">
        <v>125</v>
      </c>
      <c r="L4">
        <f>I4*H4</f>
        <v>525</v>
      </c>
      <c r="N4" t="s">
        <v>298</v>
      </c>
    </row>
    <row r="5" spans="1:15">
      <c r="A5">
        <v>7</v>
      </c>
      <c r="B5" t="s">
        <v>299</v>
      </c>
      <c r="D5" t="s">
        <v>300</v>
      </c>
      <c r="E5" t="s">
        <v>299</v>
      </c>
      <c r="F5">
        <v>1</v>
      </c>
      <c r="G5" t="s">
        <v>301</v>
      </c>
      <c r="H5">
        <v>14.5</v>
      </c>
      <c r="I5">
        <v>120</v>
      </c>
      <c r="L5">
        <f>I5*H5</f>
        <v>1740</v>
      </c>
      <c r="N5" t="s">
        <v>302</v>
      </c>
    </row>
    <row r="6" spans="1:15">
      <c r="A6">
        <v>6</v>
      </c>
      <c r="B6" t="s">
        <v>303</v>
      </c>
      <c r="D6" t="s">
        <v>304</v>
      </c>
      <c r="E6" t="s">
        <v>303</v>
      </c>
      <c r="F6">
        <v>1</v>
      </c>
      <c r="G6" t="s">
        <v>305</v>
      </c>
      <c r="H6">
        <v>1.5</v>
      </c>
      <c r="I6">
        <v>125</v>
      </c>
      <c r="L6">
        <f>I6*H6</f>
        <v>187.5</v>
      </c>
      <c r="N6" t="s">
        <v>306</v>
      </c>
      <c r="O6" s="1" t="s">
        <v>307</v>
      </c>
    </row>
    <row r="7" spans="1:15">
      <c r="A7">
        <v>8</v>
      </c>
      <c r="B7" t="s">
        <v>308</v>
      </c>
      <c r="D7" t="s">
        <v>309</v>
      </c>
      <c r="E7" t="s">
        <v>308</v>
      </c>
      <c r="F7">
        <v>1</v>
      </c>
      <c r="G7" t="s">
        <v>310</v>
      </c>
      <c r="H7">
        <v>1.48</v>
      </c>
      <c r="I7">
        <v>125</v>
      </c>
      <c r="L7">
        <f>I7*H7</f>
        <v>185</v>
      </c>
      <c r="N7" t="s">
        <v>306</v>
      </c>
      <c r="O7" s="1" t="s">
        <v>311</v>
      </c>
    </row>
    <row r="8" customFormat="1" spans="1:15">
      <c r="A8">
        <v>9</v>
      </c>
      <c r="B8" t="s">
        <v>250</v>
      </c>
      <c r="C8" t="s">
        <v>66</v>
      </c>
      <c r="D8" t="s">
        <v>251</v>
      </c>
      <c r="E8" t="s">
        <v>250</v>
      </c>
      <c r="F8">
        <v>1</v>
      </c>
      <c r="G8" t="s">
        <v>252</v>
      </c>
      <c r="H8" t="s">
        <v>253</v>
      </c>
      <c r="I8" t="s">
        <v>253</v>
      </c>
      <c r="J8" t="s">
        <v>254</v>
      </c>
      <c r="K8" t="s">
        <v>17</v>
      </c>
      <c r="L8" s="2">
        <v>226.38</v>
      </c>
      <c r="N8" t="s">
        <v>312</v>
      </c>
    </row>
    <row r="9" spans="1:15">
      <c r="A9">
        <v>2</v>
      </c>
      <c r="B9" t="s">
        <v>260</v>
      </c>
      <c r="C9" t="s">
        <v>66</v>
      </c>
      <c r="D9" t="s">
        <v>261</v>
      </c>
      <c r="E9" t="s">
        <v>260</v>
      </c>
      <c r="F9">
        <v>1</v>
      </c>
      <c r="G9" t="s">
        <v>262</v>
      </c>
      <c r="H9">
        <v>1.08</v>
      </c>
      <c r="I9">
        <v>120</v>
      </c>
      <c r="L9" s="2"/>
      <c r="N9" t="s">
        <v>312</v>
      </c>
    </row>
    <row r="10" spans="1:15">
      <c r="A10">
        <v>4</v>
      </c>
      <c r="B10" t="s">
        <v>255</v>
      </c>
      <c r="C10" t="s">
        <v>66</v>
      </c>
      <c r="D10" t="s">
        <v>256</v>
      </c>
      <c r="E10" t="s">
        <v>255</v>
      </c>
      <c r="F10">
        <v>1</v>
      </c>
      <c r="G10" t="s">
        <v>257</v>
      </c>
      <c r="H10" t="s">
        <v>258</v>
      </c>
      <c r="I10" t="s">
        <v>66</v>
      </c>
      <c r="J10" t="s">
        <v>259</v>
      </c>
      <c r="K10" t="s">
        <v>17</v>
      </c>
      <c r="L10" s="2"/>
      <c r="N10" t="s">
        <v>312</v>
      </c>
    </row>
    <row r="11" spans="1:15">
      <c r="J11" s="3" t="s">
        <v>313</v>
      </c>
      <c r="L11">
        <f>SUM(L4:L10)</f>
        <v>2863.88</v>
      </c>
    </row>
    <row r="12" spans="1:15">
      <c r="J12" s="3" t="s">
        <v>314</v>
      </c>
      <c r="K12" s="3"/>
      <c r="L12">
        <v>3095.3</v>
      </c>
    </row>
    <row r="13" spans="1:15">
      <c r="J13" s="3"/>
      <c r="K13" s="3"/>
    </row>
    <row r="14" spans="1:15">
      <c r="K14" t="s">
        <v>315</v>
      </c>
      <c r="L14">
        <f>SUM(L11:L13)</f>
        <v>5959.18</v>
      </c>
    </row>
    <row r="15" spans="1:15">
      <c r="K15" t="s">
        <v>316</v>
      </c>
      <c r="L15">
        <f>L14/120</f>
        <v>49.6598333333333</v>
      </c>
    </row>
  </sheetData>
  <mergeCells count="4">
    <mergeCell ref="J11:K11"/>
    <mergeCell ref="J12:K12"/>
    <mergeCell ref="J13:K13"/>
    <mergeCell ref="L8:L10"/>
  </mergeCells>
  <hyperlinks>
    <hyperlink ref="O7" r:id="rId1" display="https://item.taobao.com/item.htm?abbucket=12&amp;id=728831850253&amp;mi_id=0000bV-u5-l4jr3inbWtS_mjS8y8IfeRXfKv40XQR1jXYV8&amp;ns=1&amp;priceTId=213e0a5917642962315085206e1ad3&amp;spm=a21n57.1.hoverItem.2&amp;utparam=%7B%22aplus_abtest%22%3A%22825028e155c0b4b34c9e2d8f184bd167%22%7D&amp;xxc=taobaoSearch"/>
    <hyperlink ref="O6" r:id="rId2" display="https://item.taobao.com/item.htm?from=cart&amp;id=854692235061&amp;mi_id=00003-OJ_e8n8T9TvcaHn7MZOHuoBQQSVnbUzRGcGLHZaDs&amp;spm=a1z0d.6639537%2F202410.item.d854692235061.17587484P85HAo&amp;upStreamPrice=90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立创采购</vt:lpstr>
      <vt:lpstr>独立采购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郑延飞</cp:lastModifiedBy>
  <dcterms:created xsi:type="dcterms:W3CDTF">2025-11-21T02:28:00Z</dcterms:created>
  <dcterms:modified xsi:type="dcterms:W3CDTF">2025-11-28T10:28:34Z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9A66A3F8000641DD9B7A11386F619295_12</vt:lpwstr>
  </property>
  <property fmtid="{D5CDD505-2E9C-101B-9397-08002B2CF9AE}" pid="3" name="KSOProductBuildVer">
    <vt:lpwstr>2052-12.1.0.23542</vt:lpwstr>
  </property>
</Properties>
</file>