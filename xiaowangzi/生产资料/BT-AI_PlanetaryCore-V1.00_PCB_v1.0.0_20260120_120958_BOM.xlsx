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BT-AI_PlanetaryCore-V1.00_PCB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<sst xmlns="http://schemas.openxmlformats.org/spreadsheetml/2006/main" count="395" uniqueCount="265">
  <si>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</si>
  <si>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</si>
  <si>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</si>
  <si>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</si>
  <si>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</si>
  <si>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</si>
  <si>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</si>
  <si>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</si>
  <si>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</si>
  <si>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实际使用量</t>
  </si>
  <si>
    <t>单价</t>
  </si>
  <si>
    <t>总价</t>
  </si>
  <si>
    <t>1uF</t>
  </si>
  <si>
    <t>C1,C2,C3,C5,C6,C9,C10,C31,C42,C43,C44,C45,C46,C55,C56,C57,C58,C59</t>
  </si>
  <si>
    <t>C0402</t>
  </si>
  <si>
    <t>CL05A105KP5NNNC</t>
  </si>
  <si>
    <t>SAMSUNG(三星)</t>
  </si>
  <si>
    <t>C14445</t>
  </si>
  <si>
    <t>2.7pF</t>
  </si>
  <si>
    <t>C4</t>
  </si>
  <si>
    <t>CC0402BRNPO9BN2R7</t>
  </si>
  <si>
    <t>YAGEO(国巨)</t>
  </si>
  <si>
    <t>C326937</t>
  </si>
  <si>
    <t>24pF</t>
  </si>
  <si>
    <t>C7,C8</t>
  </si>
  <si>
    <t>CC0402FRNPO9BN240</t>
  </si>
  <si>
    <t>C541435</t>
  </si>
  <si>
    <t>100nF</t>
  </si>
  <si>
    <t>C11,C12,C13,C14,C21,C23,C36,C38,C39,C40,C41</t>
  </si>
  <si>
    <t>CL05B104KO5NNNC</t>
  </si>
  <si>
    <t>C1525</t>
  </si>
  <si>
    <t>10uF</t>
  </si>
  <si>
    <t>C15,C16,C18,C19,C20,C22</t>
  </si>
  <si>
    <t>CL05A106MQ5NUNC</t>
  </si>
  <si>
    <t>C15525</t>
  </si>
  <si>
    <t>22pF</t>
  </si>
  <si>
    <t>C17</t>
  </si>
  <si>
    <t>CGA0402C0G220J500GT</t>
  </si>
  <si>
    <t>HRE(芯声)</t>
  </si>
  <si>
    <t>C42371856</t>
  </si>
  <si>
    <t>C24,C25</t>
  </si>
  <si>
    <t>C0603</t>
  </si>
  <si>
    <t>CC0603KRX7R9BB104</t>
  </si>
  <si>
    <t>C14663</t>
  </si>
  <si>
    <t>1nF</t>
  </si>
  <si>
    <t>C26,C32,C33</t>
  </si>
  <si>
    <t>GRM1555C1H102JA01D</t>
  </si>
  <si>
    <t>muRata(村田)</t>
  </si>
  <si>
    <t>C76947</t>
  </si>
  <si>
    <t>C27,C28</t>
  </si>
  <si>
    <t>C0805</t>
  </si>
  <si>
    <t>CL21A106KAYNNNE</t>
  </si>
  <si>
    <t>C15850</t>
  </si>
  <si>
    <t>470uF</t>
  </si>
  <si>
    <t>C34,C37</t>
  </si>
  <si>
    <t>CAP-SMD_BD6.3-L6.6-W6.6-FD</t>
  </si>
  <si>
    <t>RVE1A471M0605</t>
  </si>
  <si>
    <t>ROQANG(容强)</t>
  </si>
  <si>
    <t>C7465562</t>
  </si>
  <si>
    <t>4.7uF</t>
  </si>
  <si>
    <t>C35</t>
  </si>
  <si>
    <t>CL05A475MP5NRNC</t>
  </si>
  <si>
    <t>C23733</t>
  </si>
  <si>
    <t>3.3nF</t>
  </si>
  <si>
    <t>C47,C60</t>
  </si>
  <si>
    <t>CC0402KRX7R9BB332</t>
  </si>
  <si>
    <t>C107028</t>
  </si>
  <si>
    <t>100pF</t>
  </si>
  <si>
    <t>C48,C49,C50</t>
  </si>
  <si>
    <t>0402CG101J500NT</t>
  </si>
  <si>
    <t>FH(风华)</t>
  </si>
  <si>
    <t>C1546</t>
  </si>
  <si>
    <t>10nF</t>
  </si>
  <si>
    <t>C51,C52</t>
  </si>
  <si>
    <t>CL05B103KB5NNNC</t>
  </si>
  <si>
    <t>C15195</t>
  </si>
  <si>
    <t>C53,C54</t>
  </si>
  <si>
    <t>CL10A106KP8NNNC</t>
  </si>
  <si>
    <t>C19702</t>
  </si>
  <si>
    <t>2.2uF</t>
  </si>
  <si>
    <t>C63</t>
  </si>
  <si>
    <t>CL05A225KO5NQNC</t>
  </si>
  <si>
    <t>C170151</t>
  </si>
  <si>
    <t>SM4007PL</t>
  </si>
  <si>
    <t>D1,D2</t>
  </si>
  <si>
    <t>SOD-123F_L2.8-W1.8-LS3.7-RD</t>
  </si>
  <si>
    <t>MDD(辰达半导体)</t>
  </si>
  <si>
    <t>C64898</t>
  </si>
  <si>
    <t>1N4148WS</t>
  </si>
  <si>
    <t>D3,D4</t>
  </si>
  <si>
    <t>SOD-323_L1.8-W1.3-LS2.5-RD</t>
  </si>
  <si>
    <t>CJ(江苏长电/长晶)</t>
  </si>
  <si>
    <t>C2128</t>
  </si>
  <si>
    <t>SMAJ5.0A</t>
  </si>
  <si>
    <t>D5</t>
  </si>
  <si>
    <t>SMA_L4.3-W2.6-LS5.0-RD</t>
  </si>
  <si>
    <t>R+O(宏嘉诚)</t>
  </si>
  <si>
    <t>C19077523</t>
  </si>
  <si>
    <t>2.2uH</t>
  </si>
  <si>
    <t>H1</t>
  </si>
  <si>
    <t>IND-SMD_L2.0-W1.6-B</t>
  </si>
  <si>
    <t>FTC201610S2R2MBCA</t>
  </si>
  <si>
    <t>cjiang(长江微电)</t>
  </si>
  <si>
    <t>C5832344</t>
  </si>
  <si>
    <t>PZ254V-11-04P</t>
  </si>
  <si>
    <t>H2</t>
  </si>
  <si>
    <t>HDR-TH_4P-P2.54-V-M</t>
  </si>
  <si>
    <t>XFCN(兴飞)</t>
  </si>
  <si>
    <t>C2691448</t>
  </si>
  <si>
    <t>1.25-2P</t>
  </si>
  <si>
    <t>H3,H4,H10</t>
  </si>
  <si>
    <t>CONN-SMD_1.25-2P</t>
  </si>
  <si>
    <t>SHOU HAN(首韩)</t>
  </si>
  <si>
    <t>C393945</t>
  </si>
  <si>
    <t>ZX-ZH1.5-2PLT</t>
  </si>
  <si>
    <t>H5</t>
  </si>
  <si>
    <t>CONN-SMD_2P-P1.50_ZX-ZH1.5-2PLT</t>
  </si>
  <si>
    <t>Megastar(兆星)</t>
  </si>
  <si>
    <t>C19272414</t>
  </si>
  <si>
    <t>ZX-ZH1.5-4PLT</t>
  </si>
  <si>
    <t>H8</t>
  </si>
  <si>
    <t>CONN-SMD_4P-P1.50_ZX-ZH1.5-4PLT</t>
  </si>
  <si>
    <t>C19272416</t>
  </si>
  <si>
    <t>JS20T-S02PHA-00</t>
  </si>
  <si>
    <t>H9</t>
  </si>
  <si>
    <t>CONN-TH_2P-P2.00_JS20T-S02PHA-00</t>
  </si>
  <si>
    <t>JS(钜硕电子)</t>
  </si>
  <si>
    <t>C7499292</t>
  </si>
  <si>
    <t>3.3uH</t>
  </si>
  <si>
    <t>L1</t>
  </si>
  <si>
    <t>IND-SMD_L4.0-W4.0</t>
  </si>
  <si>
    <t>FHD4020S-3R3MT</t>
  </si>
  <si>
    <t>C602030</t>
  </si>
  <si>
    <t>BLM18PG121SN1D</t>
  </si>
  <si>
    <t>L2,L3</t>
  </si>
  <si>
    <t>L0603</t>
  </si>
  <si>
    <t>C14709</t>
  </si>
  <si>
    <t>KT-0603R</t>
  </si>
  <si>
    <t>LED1</t>
  </si>
  <si>
    <t>LED0603-RD</t>
  </si>
  <si>
    <t>KENTO</t>
  </si>
  <si>
    <t>C2286</t>
  </si>
  <si>
    <t>S8050 J3Y(RANGE:200-350)</t>
  </si>
  <si>
    <t>Q1,Q3</t>
  </si>
  <si>
    <t>SOT-23-3_L3.0-W1.7-P0.95-LS2.9-BR</t>
  </si>
  <si>
    <t>C2146</t>
  </si>
  <si>
    <t>LP2301LT1G</t>
  </si>
  <si>
    <t>Q2</t>
  </si>
  <si>
    <t>SOT-23-3_L2.9-W1.3-P1.90-LS2.4-BR</t>
  </si>
  <si>
    <t>LRC(乐山无线电)</t>
  </si>
  <si>
    <t>C77937</t>
  </si>
  <si>
    <t>SS8550</t>
  </si>
  <si>
    <t>Q4,Q5</t>
  </si>
  <si>
    <t>C7420371</t>
  </si>
  <si>
    <t>0Ω</t>
  </si>
  <si>
    <t>R1,R28,R29,R47</t>
  </si>
  <si>
    <t>R0402</t>
  </si>
  <si>
    <t>0402WGF0000TCE</t>
  </si>
  <si>
    <t>UNI-ROYAL(厚声)</t>
  </si>
  <si>
    <t>C17168</t>
  </si>
  <si>
    <t>2.2kΩ</t>
  </si>
  <si>
    <t>R50,R51</t>
  </si>
  <si>
    <t>0402WGF2201TCE</t>
  </si>
  <si>
    <t>C25879</t>
  </si>
  <si>
    <t>100kΩ</t>
  </si>
  <si>
    <t>R3,R4,R21,R22</t>
  </si>
  <si>
    <t>0402WGF1003TCE</t>
  </si>
  <si>
    <t>C25741</t>
  </si>
  <si>
    <t>10kΩ</t>
  </si>
  <si>
    <t>R5,R6,R7,R8,R9,R10,R11,R15,R16,R24,R26,R27,R30,R31,R32,R37,R40,R41,R55,R56</t>
  </si>
  <si>
    <t>0402WGF1002TCE</t>
  </si>
  <si>
    <t>C25744</t>
  </si>
  <si>
    <t>68kΩ</t>
  </si>
  <si>
    <t>R12</t>
  </si>
  <si>
    <t>0402WGF6802TCE</t>
  </si>
  <si>
    <t>C36871</t>
  </si>
  <si>
    <t>15kΩ</t>
  </si>
  <si>
    <t>R13</t>
  </si>
  <si>
    <t>0402WGF1502TCE</t>
  </si>
  <si>
    <t>C25756</t>
  </si>
  <si>
    <t>1kΩ</t>
  </si>
  <si>
    <t>R14,R35,R48,R49,R57</t>
  </si>
  <si>
    <t>0402WGF1001TCE</t>
  </si>
  <si>
    <t>C11702</t>
  </si>
  <si>
    <t>100Ω</t>
  </si>
  <si>
    <t>R17,R18</t>
  </si>
  <si>
    <t>0402WGF1000TCE</t>
  </si>
  <si>
    <t>C25076</t>
  </si>
  <si>
    <t>2.7kΩ</t>
  </si>
  <si>
    <t>R19</t>
  </si>
  <si>
    <t>0402WGF2701TCE</t>
  </si>
  <si>
    <t>C25885</t>
  </si>
  <si>
    <t>R20</t>
  </si>
  <si>
    <t>R0603</t>
  </si>
  <si>
    <t>0603WAF1003T5E</t>
  </si>
  <si>
    <t>C25803</t>
  </si>
  <si>
    <t>73.2kΩ</t>
  </si>
  <si>
    <t>R23</t>
  </si>
  <si>
    <t>0402WGF7322TCE</t>
  </si>
  <si>
    <t>C26986</t>
  </si>
  <si>
    <t>R25,R38</t>
  </si>
  <si>
    <t>0603WAF1000T5E</t>
  </si>
  <si>
    <t>C22775</t>
  </si>
  <si>
    <t>4.7kΩ</t>
  </si>
  <si>
    <t>R33,R44,R45</t>
  </si>
  <si>
    <t>0402WGF4701TCE</t>
  </si>
  <si>
    <t>C25900</t>
  </si>
  <si>
    <t>20kΩ</t>
  </si>
  <si>
    <t>R34</t>
  </si>
  <si>
    <t>0402WGF2002TCE</t>
  </si>
  <si>
    <t>C25765</t>
  </si>
  <si>
    <t>27kΩ</t>
  </si>
  <si>
    <t>R36,R39</t>
  </si>
  <si>
    <t>0402WGF2702TCE</t>
  </si>
  <si>
    <t>C25771</t>
  </si>
  <si>
    <t>33Ω</t>
  </si>
  <si>
    <t>R42,R43</t>
  </si>
  <si>
    <t>0402WGF330JTCE</t>
  </si>
  <si>
    <t>C25105</t>
  </si>
  <si>
    <t>560Ω</t>
  </si>
  <si>
    <t>R46,R54</t>
  </si>
  <si>
    <t>FRC0402F5600TS</t>
  </si>
  <si>
    <t>FOJAN(富捷)</t>
  </si>
  <si>
    <t>C2909370</t>
  </si>
  <si>
    <t>1.2kΩ</t>
  </si>
  <si>
    <t>R52,R53</t>
  </si>
  <si>
    <t>FRC0402F1201TS</t>
  </si>
  <si>
    <t>C2909307</t>
  </si>
  <si>
    <t>2kΩ</t>
  </si>
  <si>
    <t>R58,R59</t>
  </si>
  <si>
    <t>0402WGF2001TCE</t>
  </si>
  <si>
    <t>C4109</t>
  </si>
  <si>
    <t>TSB008A2530A</t>
  </si>
  <si>
    <t>SW2,SW3</t>
  </si>
  <si>
    <t>SW-SMD_L6.0-W3.5-LS8.0</t>
  </si>
  <si>
    <t>BZCN(博众电气)</t>
  </si>
  <si>
    <t>C2888954</t>
  </si>
  <si>
    <t>RT8059GJ5-TP</t>
  </si>
  <si>
    <t>U1</t>
  </si>
  <si>
    <t>SOT-23-5_L2.9-W1.6-P0.95-LS2.8-BR_1</t>
  </si>
  <si>
    <t>TECH PUBLIC(台舟)</t>
  </si>
  <si>
    <t>RT9013-33GB-MS</t>
  </si>
  <si>
    <t>U4</t>
  </si>
  <si>
    <t>SOT-23-5_L2.9-W1.6-P0.95-LS2.8-BR</t>
  </si>
  <si>
    <t>MSKSEMI(美森科)</t>
  </si>
  <si>
    <t>C7434207</t>
  </si>
  <si>
    <t>TL431A-MS</t>
  </si>
  <si>
    <t>U5</t>
  </si>
  <si>
    <t>SOT-23-3_L2.9-W1.4-P1.90-LS2.5-BR</t>
  </si>
  <si>
    <t>C19272793</t>
  </si>
  <si>
    <t>FP6277XR-G1</t>
  </si>
  <si>
    <t>U6</t>
  </si>
  <si>
    <t>SOP-8_L4.9-W3.9-P1.27-LS6.0-BL-EP</t>
  </si>
  <si>
    <t>Advanced Analog Technology(类比)</t>
  </si>
  <si>
    <t>C88312</t>
  </si>
  <si>
    <t>24MHz</t>
  </si>
  <si>
    <t>X1</t>
  </si>
  <si>
    <t>CRYSTAL-SMD_4P-L3.2-W2.5-BL</t>
  </si>
  <si>
    <t>X322524MOB4SI</t>
  </si>
  <si>
    <t>YXC(扬兴晶振)</t>
  </si>
  <si>
    <t>C70590</t>
  </si>
  <si>
    <t>NC</t>
  </si>
  <si>
    <t>R2</t>
  </si>
  <si>
    <t>C29,C30</t>
  </si>
  <si>
    <t>总价：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</si>
</sst>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zoomScaleSheetLayoutView="60" topLeftCell="A7" workbookViewId="0">
      <selection activeCell="Q44" sqref="Q44"/>
    </sheetView>
  </sheetViews>
  <sheetFormatPr defaultColWidth="9.81818181818182" defaultRowHeight="14"/>
  <cols>
    <col min="3" max="3" width="18.2727272727273" customWidth="1"/>
    <col min="4" max="4" width="83.8181818181818" customWidth="1"/>
    <col min="8" max="8" width="35.6363636363636" customWidth="1"/>
    <col min="9" max="9" width="23.1818181818182" customWidth="1"/>
    <col min="10" max="10" width="11.8181818181818" customWidth="1"/>
    <col min="12" max="12" width="10.545454545454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18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>
        <v>2180</v>
      </c>
      <c r="K2">
        <v>0.0088</v>
      </c>
      <c r="L2">
        <f>K2*J2</f>
        <v>19.184</v>
      </c>
    </row>
    <row r="3" spans="1:12">
      <c r="A3">
        <v>2</v>
      </c>
      <c r="B3">
        <v>1</v>
      </c>
      <c r="C3" t="s">
        <v>18</v>
      </c>
      <c r="D3" t="s">
        <v>19</v>
      </c>
      <c r="E3" t="s">
        <v>14</v>
      </c>
      <c r="F3" t="s">
        <v>18</v>
      </c>
      <c r="G3" t="s">
        <v>20</v>
      </c>
      <c r="H3" t="s">
        <v>21</v>
      </c>
      <c r="I3" t="s">
        <v>22</v>
      </c>
      <c r="J3">
        <v>130</v>
      </c>
      <c r="K3">
        <v>0.0163</v>
      </c>
      <c r="L3">
        <f t="shared" ref="L3:L34" si="0">K3*J3</f>
        <v>2.119</v>
      </c>
    </row>
    <row r="4" spans="1:12">
      <c r="A4">
        <v>3</v>
      </c>
      <c r="B4">
        <v>2</v>
      </c>
      <c r="C4" t="s">
        <v>23</v>
      </c>
      <c r="D4" t="s">
        <v>24</v>
      </c>
      <c r="E4" t="s">
        <v>14</v>
      </c>
      <c r="F4" t="s">
        <v>23</v>
      </c>
      <c r="G4" t="s">
        <v>25</v>
      </c>
      <c r="H4" t="s">
        <v>21</v>
      </c>
      <c r="I4" t="s">
        <v>26</v>
      </c>
      <c r="J4">
        <v>250</v>
      </c>
      <c r="K4">
        <v>0.0198</v>
      </c>
      <c r="L4">
        <f t="shared" si="0"/>
        <v>4.95</v>
      </c>
    </row>
    <row r="5" spans="1:12">
      <c r="A5">
        <v>4</v>
      </c>
      <c r="B5">
        <v>12</v>
      </c>
      <c r="C5" t="s">
        <v>27</v>
      </c>
      <c r="D5" t="s">
        <v>28</v>
      </c>
      <c r="E5" t="s">
        <v>14</v>
      </c>
      <c r="F5" t="s">
        <v>27</v>
      </c>
      <c r="G5" t="s">
        <v>29</v>
      </c>
      <c r="H5" t="s">
        <v>16</v>
      </c>
      <c r="I5" t="s">
        <v>30</v>
      </c>
      <c r="J5">
        <v>1340</v>
      </c>
      <c r="K5">
        <v>0.00584</v>
      </c>
      <c r="L5">
        <f t="shared" si="0"/>
        <v>7.8256</v>
      </c>
    </row>
    <row r="6" spans="1:12">
      <c r="A6">
        <v>5</v>
      </c>
      <c r="B6">
        <v>6</v>
      </c>
      <c r="C6" t="s">
        <v>31</v>
      </c>
      <c r="D6" t="s">
        <v>32</v>
      </c>
      <c r="E6" t="s">
        <v>14</v>
      </c>
      <c r="F6" t="s">
        <v>31</v>
      </c>
      <c r="G6" t="s">
        <v>33</v>
      </c>
      <c r="H6" t="s">
        <v>16</v>
      </c>
      <c r="I6" t="s">
        <v>34</v>
      </c>
      <c r="J6">
        <v>730</v>
      </c>
      <c r="K6">
        <v>0.0296</v>
      </c>
      <c r="L6">
        <f t="shared" si="0"/>
        <v>21.608</v>
      </c>
    </row>
    <row r="7" spans="1:12">
      <c r="A7">
        <v>6</v>
      </c>
      <c r="B7">
        <v>1</v>
      </c>
      <c r="C7" t="s">
        <v>35</v>
      </c>
      <c r="D7" t="s">
        <v>36</v>
      </c>
      <c r="E7" t="s">
        <v>14</v>
      </c>
      <c r="F7" t="s">
        <v>35</v>
      </c>
      <c r="G7" t="s">
        <v>37</v>
      </c>
      <c r="H7" t="s">
        <v>38</v>
      </c>
      <c r="I7" t="s">
        <v>39</v>
      </c>
      <c r="J7">
        <v>130</v>
      </c>
      <c r="K7">
        <v>0.0053</v>
      </c>
      <c r="L7">
        <f t="shared" si="0"/>
        <v>0.689</v>
      </c>
    </row>
    <row r="8" spans="1:12">
      <c r="A8">
        <v>7</v>
      </c>
      <c r="B8">
        <v>2</v>
      </c>
      <c r="C8" t="s">
        <v>27</v>
      </c>
      <c r="D8" t="s">
        <v>40</v>
      </c>
      <c r="E8" t="s">
        <v>41</v>
      </c>
      <c r="F8" t="s">
        <v>27</v>
      </c>
      <c r="G8" t="s">
        <v>42</v>
      </c>
      <c r="H8" t="s">
        <v>21</v>
      </c>
      <c r="I8" t="s">
        <v>43</v>
      </c>
      <c r="J8">
        <v>250</v>
      </c>
      <c r="K8">
        <v>0.0156</v>
      </c>
      <c r="L8">
        <f t="shared" si="0"/>
        <v>3.9</v>
      </c>
    </row>
    <row r="9" spans="1:12">
      <c r="A9">
        <v>8</v>
      </c>
      <c r="B9">
        <v>3</v>
      </c>
      <c r="C9" t="s">
        <v>44</v>
      </c>
      <c r="D9" t="s">
        <v>45</v>
      </c>
      <c r="E9" t="s">
        <v>14</v>
      </c>
      <c r="F9" t="s">
        <v>44</v>
      </c>
      <c r="G9" t="s">
        <v>46</v>
      </c>
      <c r="H9" t="s">
        <v>47</v>
      </c>
      <c r="I9" t="s">
        <v>48</v>
      </c>
      <c r="J9">
        <v>384</v>
      </c>
      <c r="K9">
        <v>0.03</v>
      </c>
      <c r="L9">
        <f t="shared" si="0"/>
        <v>11.52</v>
      </c>
    </row>
    <row r="10" spans="1:12">
      <c r="A10">
        <v>9</v>
      </c>
      <c r="B10">
        <v>2</v>
      </c>
      <c r="C10" t="s">
        <v>31</v>
      </c>
      <c r="D10" t="s">
        <v>49</v>
      </c>
      <c r="E10" t="s">
        <v>50</v>
      </c>
      <c r="F10" t="s">
        <v>31</v>
      </c>
      <c r="G10" t="s">
        <v>51</v>
      </c>
      <c r="H10" t="s">
        <v>16</v>
      </c>
      <c r="I10" t="s">
        <v>52</v>
      </c>
      <c r="J10">
        <v>250</v>
      </c>
      <c r="K10">
        <v>0.065</v>
      </c>
      <c r="L10">
        <f t="shared" si="0"/>
        <v>16.25</v>
      </c>
    </row>
    <row r="11" spans="1:12">
      <c r="A11">
        <v>10</v>
      </c>
      <c r="B11">
        <v>2</v>
      </c>
      <c r="C11" t="s">
        <v>53</v>
      </c>
      <c r="D11" t="s">
        <v>54</v>
      </c>
      <c r="E11" t="s">
        <v>55</v>
      </c>
      <c r="F11" t="s">
        <v>53</v>
      </c>
      <c r="G11" t="s">
        <v>56</v>
      </c>
      <c r="H11" t="s">
        <v>57</v>
      </c>
      <c r="I11" t="s">
        <v>58</v>
      </c>
      <c r="J11">
        <v>241</v>
      </c>
      <c r="K11">
        <v>0.264</v>
      </c>
      <c r="L11">
        <f t="shared" si="0"/>
        <v>63.624</v>
      </c>
    </row>
    <row r="12" spans="1:12">
      <c r="A12">
        <v>11</v>
      </c>
      <c r="B12">
        <v>1</v>
      </c>
      <c r="C12" t="s">
        <v>59</v>
      </c>
      <c r="D12" t="s">
        <v>60</v>
      </c>
      <c r="E12" t="s">
        <v>14</v>
      </c>
      <c r="F12" t="s">
        <v>59</v>
      </c>
      <c r="G12" t="s">
        <v>61</v>
      </c>
      <c r="H12" t="s">
        <v>16</v>
      </c>
      <c r="I12" t="s">
        <v>62</v>
      </c>
      <c r="J12">
        <v>130</v>
      </c>
      <c r="K12">
        <v>0.0306</v>
      </c>
      <c r="L12">
        <f t="shared" si="0"/>
        <v>3.978</v>
      </c>
    </row>
    <row r="13" spans="1:12">
      <c r="A13">
        <v>12</v>
      </c>
      <c r="B13">
        <v>2</v>
      </c>
      <c r="C13" t="s">
        <v>63</v>
      </c>
      <c r="D13" t="s">
        <v>64</v>
      </c>
      <c r="E13" t="s">
        <v>14</v>
      </c>
      <c r="F13" t="s">
        <v>63</v>
      </c>
      <c r="G13" t="s">
        <v>65</v>
      </c>
      <c r="H13" t="s">
        <v>21</v>
      </c>
      <c r="I13" t="s">
        <v>66</v>
      </c>
      <c r="J13">
        <v>250</v>
      </c>
      <c r="K13">
        <v>0.0069</v>
      </c>
      <c r="L13">
        <f t="shared" si="0"/>
        <v>1.725</v>
      </c>
    </row>
    <row r="14" spans="1:12">
      <c r="A14">
        <v>13</v>
      </c>
      <c r="B14">
        <v>3</v>
      </c>
      <c r="C14" t="s">
        <v>67</v>
      </c>
      <c r="D14" t="s">
        <v>68</v>
      </c>
      <c r="E14" t="s">
        <v>14</v>
      </c>
      <c r="F14" t="s">
        <v>67</v>
      </c>
      <c r="G14" t="s">
        <v>69</v>
      </c>
      <c r="H14" t="s">
        <v>70</v>
      </c>
      <c r="I14" t="s">
        <v>71</v>
      </c>
      <c r="J14">
        <v>370</v>
      </c>
      <c r="K14">
        <v>0.0066</v>
      </c>
      <c r="L14">
        <f t="shared" si="0"/>
        <v>2.442</v>
      </c>
    </row>
    <row r="15" spans="1:12">
      <c r="A15">
        <v>14</v>
      </c>
      <c r="B15">
        <v>2</v>
      </c>
      <c r="C15" t="s">
        <v>72</v>
      </c>
      <c r="D15" t="s">
        <v>73</v>
      </c>
      <c r="E15" t="s">
        <v>14</v>
      </c>
      <c r="F15" t="s">
        <v>72</v>
      </c>
      <c r="G15" t="s">
        <v>74</v>
      </c>
      <c r="H15" t="s">
        <v>16</v>
      </c>
      <c r="I15" t="s">
        <v>75</v>
      </c>
      <c r="J15">
        <v>250</v>
      </c>
      <c r="K15">
        <v>0.008</v>
      </c>
      <c r="L15">
        <f t="shared" si="0"/>
        <v>2</v>
      </c>
    </row>
    <row r="16" spans="1:12">
      <c r="A16">
        <v>15</v>
      </c>
      <c r="B16">
        <v>2</v>
      </c>
      <c r="C16" t="s">
        <v>31</v>
      </c>
      <c r="D16" t="s">
        <v>76</v>
      </c>
      <c r="E16" t="s">
        <v>41</v>
      </c>
      <c r="F16" t="s">
        <v>31</v>
      </c>
      <c r="G16" t="s">
        <v>77</v>
      </c>
      <c r="H16" t="s">
        <v>16</v>
      </c>
      <c r="I16" t="s">
        <v>78</v>
      </c>
      <c r="J16">
        <v>250</v>
      </c>
      <c r="K16">
        <v>0.036</v>
      </c>
      <c r="L16">
        <f t="shared" si="0"/>
        <v>9</v>
      </c>
    </row>
    <row r="17" spans="1:12">
      <c r="A17">
        <v>16</v>
      </c>
      <c r="B17">
        <v>1</v>
      </c>
      <c r="C17" t="s">
        <v>79</v>
      </c>
      <c r="D17" t="s">
        <v>80</v>
      </c>
      <c r="E17" t="s">
        <v>14</v>
      </c>
      <c r="F17" t="s">
        <v>79</v>
      </c>
      <c r="G17" t="s">
        <v>81</v>
      </c>
      <c r="H17" t="s">
        <v>16</v>
      </c>
      <c r="I17" t="s">
        <v>82</v>
      </c>
      <c r="J17">
        <v>132</v>
      </c>
      <c r="K17">
        <v>0.0362</v>
      </c>
      <c r="L17">
        <f t="shared" si="0"/>
        <v>4.7784</v>
      </c>
    </row>
    <row r="18" spans="1:12">
      <c r="A18">
        <v>17</v>
      </c>
      <c r="B18">
        <v>2</v>
      </c>
      <c r="C18" t="s">
        <v>83</v>
      </c>
      <c r="D18" t="s">
        <v>84</v>
      </c>
      <c r="E18" t="s">
        <v>85</v>
      </c>
      <c r="G18" t="s">
        <v>83</v>
      </c>
      <c r="H18" t="s">
        <v>86</v>
      </c>
      <c r="I18" t="s">
        <v>87</v>
      </c>
      <c r="J18">
        <v>250</v>
      </c>
      <c r="K18">
        <v>0.0391</v>
      </c>
      <c r="L18">
        <f t="shared" si="0"/>
        <v>9.775</v>
      </c>
    </row>
    <row r="19" spans="1:12">
      <c r="A19">
        <v>18</v>
      </c>
      <c r="B19">
        <v>2</v>
      </c>
      <c r="C19" t="s">
        <v>88</v>
      </c>
      <c r="D19" t="s">
        <v>89</v>
      </c>
      <c r="E19" t="s">
        <v>90</v>
      </c>
      <c r="G19" t="s">
        <v>88</v>
      </c>
      <c r="H19" t="s">
        <v>91</v>
      </c>
      <c r="I19" t="s">
        <v>92</v>
      </c>
      <c r="J19">
        <v>250</v>
      </c>
      <c r="K19">
        <v>0.0554</v>
      </c>
      <c r="L19">
        <f t="shared" si="0"/>
        <v>13.85</v>
      </c>
    </row>
    <row r="20" spans="1:12">
      <c r="A20">
        <v>19</v>
      </c>
      <c r="B20">
        <v>1</v>
      </c>
      <c r="C20" t="s">
        <v>93</v>
      </c>
      <c r="D20" t="s">
        <v>94</v>
      </c>
      <c r="E20" t="s">
        <v>95</v>
      </c>
      <c r="G20" t="s">
        <v>93</v>
      </c>
      <c r="H20" t="s">
        <v>96</v>
      </c>
      <c r="I20" t="s">
        <v>97</v>
      </c>
      <c r="J20">
        <v>124</v>
      </c>
      <c r="K20">
        <v>0.193</v>
      </c>
      <c r="L20">
        <f t="shared" si="0"/>
        <v>23.932</v>
      </c>
    </row>
    <row r="21" spans="1:12">
      <c r="A21">
        <v>20</v>
      </c>
      <c r="B21">
        <v>1</v>
      </c>
      <c r="C21" t="s">
        <v>98</v>
      </c>
      <c r="D21" t="s">
        <v>99</v>
      </c>
      <c r="E21" t="s">
        <v>100</v>
      </c>
      <c r="F21" t="s">
        <v>98</v>
      </c>
      <c r="G21" t="s">
        <v>101</v>
      </c>
      <c r="H21" t="s">
        <v>102</v>
      </c>
      <c r="I21" t="s">
        <v>103</v>
      </c>
      <c r="J21">
        <v>124</v>
      </c>
      <c r="K21">
        <v>0.208</v>
      </c>
      <c r="L21">
        <f t="shared" si="0"/>
        <v>25.792</v>
      </c>
    </row>
    <row r="22" spans="1:12">
      <c r="A22">
        <v>21</v>
      </c>
      <c r="B22">
        <v>1</v>
      </c>
      <c r="C22" t="s">
        <v>104</v>
      </c>
      <c r="D22" t="s">
        <v>105</v>
      </c>
      <c r="E22" t="s">
        <v>106</v>
      </c>
      <c r="G22" t="s">
        <v>104</v>
      </c>
      <c r="H22" t="s">
        <v>107</v>
      </c>
      <c r="I22" t="s">
        <v>108</v>
      </c>
      <c r="J22">
        <v>121</v>
      </c>
      <c r="K22">
        <v>0.131</v>
      </c>
      <c r="L22">
        <f t="shared" si="0"/>
        <v>15.851</v>
      </c>
    </row>
    <row r="23" spans="1:12">
      <c r="A23">
        <v>22</v>
      </c>
      <c r="B23">
        <v>3</v>
      </c>
      <c r="C23" t="s">
        <v>109</v>
      </c>
      <c r="D23" t="s">
        <v>110</v>
      </c>
      <c r="E23" t="s">
        <v>111</v>
      </c>
      <c r="G23" t="s">
        <v>109</v>
      </c>
      <c r="H23" t="s">
        <v>112</v>
      </c>
      <c r="I23" t="s">
        <v>113</v>
      </c>
      <c r="J23">
        <v>361</v>
      </c>
      <c r="K23">
        <v>0.177</v>
      </c>
      <c r="L23">
        <f t="shared" si="0"/>
        <v>63.897</v>
      </c>
    </row>
    <row r="24" spans="1:12">
      <c r="A24">
        <v>23</v>
      </c>
      <c r="B24">
        <v>1</v>
      </c>
      <c r="C24" t="s">
        <v>114</v>
      </c>
      <c r="D24" t="s">
        <v>115</v>
      </c>
      <c r="E24" t="s">
        <v>116</v>
      </c>
      <c r="G24" t="s">
        <v>114</v>
      </c>
      <c r="H24" t="s">
        <v>117</v>
      </c>
      <c r="I24" t="s">
        <v>118</v>
      </c>
      <c r="J24">
        <v>121</v>
      </c>
      <c r="K24">
        <v>0.221</v>
      </c>
      <c r="L24">
        <f t="shared" si="0"/>
        <v>26.741</v>
      </c>
    </row>
    <row r="25" spans="1:12">
      <c r="A25">
        <v>24</v>
      </c>
      <c r="B25">
        <v>1</v>
      </c>
      <c r="C25" t="s">
        <v>119</v>
      </c>
      <c r="D25" t="s">
        <v>120</v>
      </c>
      <c r="E25" t="s">
        <v>121</v>
      </c>
      <c r="G25" t="s">
        <v>119</v>
      </c>
      <c r="H25" t="s">
        <v>117</v>
      </c>
      <c r="I25" t="s">
        <v>122</v>
      </c>
      <c r="J25">
        <v>120</v>
      </c>
      <c r="K25">
        <v>0.311</v>
      </c>
      <c r="L25">
        <f t="shared" si="0"/>
        <v>37.32</v>
      </c>
    </row>
    <row r="26" spans="1:12">
      <c r="A26">
        <v>25</v>
      </c>
      <c r="B26">
        <v>1</v>
      </c>
      <c r="C26" t="s">
        <v>123</v>
      </c>
      <c r="D26" t="s">
        <v>124</v>
      </c>
      <c r="E26" t="s">
        <v>125</v>
      </c>
      <c r="G26" t="s">
        <v>123</v>
      </c>
      <c r="H26" t="s">
        <v>126</v>
      </c>
      <c r="I26" t="s">
        <v>127</v>
      </c>
      <c r="J26">
        <v>121</v>
      </c>
      <c r="K26">
        <v>0.101</v>
      </c>
      <c r="L26">
        <f t="shared" si="0"/>
        <v>12.221</v>
      </c>
    </row>
    <row r="27" spans="1:12">
      <c r="A27">
        <v>26</v>
      </c>
      <c r="B27">
        <v>1</v>
      </c>
      <c r="C27" t="s">
        <v>128</v>
      </c>
      <c r="D27" t="s">
        <v>129</v>
      </c>
      <c r="E27" t="s">
        <v>130</v>
      </c>
      <c r="F27" t="s">
        <v>128</v>
      </c>
      <c r="G27" t="s">
        <v>131</v>
      </c>
      <c r="H27" t="s">
        <v>102</v>
      </c>
      <c r="I27" t="s">
        <v>132</v>
      </c>
      <c r="J27">
        <v>124</v>
      </c>
      <c r="K27">
        <v>0.326</v>
      </c>
      <c r="L27">
        <f t="shared" si="0"/>
        <v>40.424</v>
      </c>
    </row>
    <row r="28" spans="1:12">
      <c r="A28">
        <v>27</v>
      </c>
      <c r="B28">
        <v>2</v>
      </c>
      <c r="C28" t="s">
        <v>133</v>
      </c>
      <c r="D28" t="s">
        <v>134</v>
      </c>
      <c r="E28" t="s">
        <v>135</v>
      </c>
      <c r="G28" t="s">
        <v>133</v>
      </c>
      <c r="H28" t="s">
        <v>47</v>
      </c>
      <c r="I28" t="s">
        <v>136</v>
      </c>
      <c r="J28">
        <v>250</v>
      </c>
      <c r="K28">
        <v>0.0397</v>
      </c>
      <c r="L28">
        <f t="shared" si="0"/>
        <v>9.925</v>
      </c>
    </row>
    <row r="29" spans="1:12">
      <c r="A29">
        <v>28</v>
      </c>
      <c r="B29">
        <v>1</v>
      </c>
      <c r="C29" t="s">
        <v>137</v>
      </c>
      <c r="D29" t="s">
        <v>138</v>
      </c>
      <c r="E29" t="s">
        <v>139</v>
      </c>
      <c r="G29" t="s">
        <v>137</v>
      </c>
      <c r="H29" t="s">
        <v>140</v>
      </c>
      <c r="I29" t="s">
        <v>141</v>
      </c>
      <c r="J29">
        <v>130</v>
      </c>
      <c r="K29">
        <v>0.0372</v>
      </c>
      <c r="L29">
        <f t="shared" si="0"/>
        <v>4.836</v>
      </c>
    </row>
    <row r="30" spans="1:12">
      <c r="A30">
        <v>29</v>
      </c>
      <c r="B30">
        <v>2</v>
      </c>
      <c r="C30" t="s">
        <v>142</v>
      </c>
      <c r="D30" t="s">
        <v>143</v>
      </c>
      <c r="E30" t="s">
        <v>144</v>
      </c>
      <c r="G30" t="s">
        <v>142</v>
      </c>
      <c r="H30" t="s">
        <v>91</v>
      </c>
      <c r="I30" t="s">
        <v>145</v>
      </c>
      <c r="J30">
        <v>245</v>
      </c>
      <c r="K30">
        <v>0.0799</v>
      </c>
      <c r="L30">
        <f t="shared" si="0"/>
        <v>19.5755</v>
      </c>
    </row>
    <row r="31" spans="1:12">
      <c r="A31">
        <v>30</v>
      </c>
      <c r="B31">
        <v>1</v>
      </c>
      <c r="C31" t="s">
        <v>146</v>
      </c>
      <c r="D31" t="s">
        <v>147</v>
      </c>
      <c r="E31" t="s">
        <v>148</v>
      </c>
      <c r="G31" t="s">
        <v>146</v>
      </c>
      <c r="H31" t="s">
        <v>149</v>
      </c>
      <c r="I31" t="s">
        <v>150</v>
      </c>
      <c r="J31">
        <v>124</v>
      </c>
      <c r="K31">
        <v>0.22</v>
      </c>
      <c r="L31">
        <f t="shared" si="0"/>
        <v>27.28</v>
      </c>
    </row>
    <row r="32" spans="1:12">
      <c r="A32">
        <v>31</v>
      </c>
      <c r="B32">
        <v>2</v>
      </c>
      <c r="C32" t="s">
        <v>151</v>
      </c>
      <c r="D32" t="s">
        <v>152</v>
      </c>
      <c r="E32" t="s">
        <v>148</v>
      </c>
      <c r="G32" t="s">
        <v>151</v>
      </c>
      <c r="H32" t="s">
        <v>96</v>
      </c>
      <c r="I32" t="s">
        <v>153</v>
      </c>
      <c r="J32">
        <v>248</v>
      </c>
      <c r="K32">
        <v>0.0642</v>
      </c>
      <c r="L32">
        <f t="shared" si="0"/>
        <v>15.9216</v>
      </c>
    </row>
    <row r="33" spans="1:12">
      <c r="A33">
        <v>32</v>
      </c>
      <c r="B33">
        <v>4</v>
      </c>
      <c r="C33" t="s">
        <v>154</v>
      </c>
      <c r="D33" t="s">
        <v>155</v>
      </c>
      <c r="E33" t="s">
        <v>156</v>
      </c>
      <c r="F33" t="s">
        <v>154</v>
      </c>
      <c r="G33" t="s">
        <v>157</v>
      </c>
      <c r="H33" t="s">
        <v>158</v>
      </c>
      <c r="I33" t="s">
        <v>159</v>
      </c>
      <c r="J33">
        <v>490</v>
      </c>
      <c r="K33">
        <v>0.00323</v>
      </c>
      <c r="L33">
        <f t="shared" si="0"/>
        <v>1.5827</v>
      </c>
    </row>
    <row r="34" spans="1:12">
      <c r="A34">
        <v>33</v>
      </c>
      <c r="B34">
        <v>3</v>
      </c>
      <c r="C34" t="s">
        <v>160</v>
      </c>
      <c r="D34" t="s">
        <v>161</v>
      </c>
      <c r="E34" t="s">
        <v>156</v>
      </c>
      <c r="F34" t="s">
        <v>160</v>
      </c>
      <c r="G34" t="s">
        <v>162</v>
      </c>
      <c r="H34" t="s">
        <v>158</v>
      </c>
      <c r="I34" t="s">
        <v>163</v>
      </c>
      <c r="J34">
        <v>250</v>
      </c>
      <c r="K34">
        <v>0.0036</v>
      </c>
      <c r="L34">
        <f t="shared" si="0"/>
        <v>0.9</v>
      </c>
    </row>
    <row r="35" spans="1:12">
      <c r="A35">
        <v>34</v>
      </c>
      <c r="B35">
        <v>4</v>
      </c>
      <c r="C35" t="s">
        <v>164</v>
      </c>
      <c r="D35" t="s">
        <v>165</v>
      </c>
      <c r="E35" t="s">
        <v>156</v>
      </c>
      <c r="F35" t="s">
        <v>164</v>
      </c>
      <c r="G35" t="s">
        <v>166</v>
      </c>
      <c r="H35" t="s">
        <v>158</v>
      </c>
      <c r="I35" t="s">
        <v>167</v>
      </c>
      <c r="J35">
        <v>490</v>
      </c>
      <c r="K35">
        <v>0.00333</v>
      </c>
      <c r="L35">
        <f t="shared" ref="L35:L57" si="1">K35*J35</f>
        <v>1.6317</v>
      </c>
    </row>
    <row r="36" spans="1:12">
      <c r="A36">
        <v>35</v>
      </c>
      <c r="B36">
        <v>20</v>
      </c>
      <c r="C36" t="s">
        <v>168</v>
      </c>
      <c r="D36" t="s">
        <v>169</v>
      </c>
      <c r="E36" t="s">
        <v>156</v>
      </c>
      <c r="F36" t="s">
        <v>168</v>
      </c>
      <c r="G36" t="s">
        <v>170</v>
      </c>
      <c r="H36" t="s">
        <v>158</v>
      </c>
      <c r="I36" t="s">
        <v>171</v>
      </c>
      <c r="J36">
        <v>2420</v>
      </c>
      <c r="K36">
        <v>0.0026</v>
      </c>
      <c r="L36">
        <f t="shared" si="1"/>
        <v>6.292</v>
      </c>
    </row>
    <row r="37" spans="1:12">
      <c r="A37">
        <v>36</v>
      </c>
      <c r="B37">
        <v>1</v>
      </c>
      <c r="C37" t="s">
        <v>172</v>
      </c>
      <c r="D37" t="s">
        <v>173</v>
      </c>
      <c r="E37" t="s">
        <v>156</v>
      </c>
      <c r="F37" t="s">
        <v>172</v>
      </c>
      <c r="G37" t="s">
        <v>174</v>
      </c>
      <c r="H37" t="s">
        <v>158</v>
      </c>
      <c r="I37" t="s">
        <v>175</v>
      </c>
      <c r="J37">
        <v>130</v>
      </c>
      <c r="K37">
        <v>0.0036</v>
      </c>
      <c r="L37">
        <f t="shared" si="1"/>
        <v>0.468</v>
      </c>
    </row>
    <row r="38" spans="1:12">
      <c r="A38">
        <v>37</v>
      </c>
      <c r="B38">
        <v>1</v>
      </c>
      <c r="C38" t="s">
        <v>176</v>
      </c>
      <c r="D38" t="s">
        <v>177</v>
      </c>
      <c r="E38" t="s">
        <v>156</v>
      </c>
      <c r="F38" t="s">
        <v>176</v>
      </c>
      <c r="G38" t="s">
        <v>178</v>
      </c>
      <c r="H38" t="s">
        <v>158</v>
      </c>
      <c r="I38" t="s">
        <v>179</v>
      </c>
      <c r="J38">
        <v>130</v>
      </c>
      <c r="K38">
        <v>0.0039</v>
      </c>
      <c r="L38">
        <f t="shared" si="1"/>
        <v>0.507</v>
      </c>
    </row>
    <row r="39" spans="1:12">
      <c r="A39">
        <v>38</v>
      </c>
      <c r="B39">
        <v>5</v>
      </c>
      <c r="C39" t="s">
        <v>180</v>
      </c>
      <c r="D39" t="s">
        <v>181</v>
      </c>
      <c r="E39" t="s">
        <v>156</v>
      </c>
      <c r="F39" t="s">
        <v>180</v>
      </c>
      <c r="G39" t="s">
        <v>182</v>
      </c>
      <c r="H39" t="s">
        <v>158</v>
      </c>
      <c r="I39" t="s">
        <v>183</v>
      </c>
      <c r="J39">
        <v>610</v>
      </c>
      <c r="K39">
        <v>0.00333</v>
      </c>
      <c r="L39">
        <f t="shared" si="1"/>
        <v>2.0313</v>
      </c>
    </row>
    <row r="40" spans="1:12">
      <c r="A40">
        <v>39</v>
      </c>
      <c r="B40">
        <v>2</v>
      </c>
      <c r="C40" t="s">
        <v>184</v>
      </c>
      <c r="D40" t="s">
        <v>185</v>
      </c>
      <c r="E40" t="s">
        <v>156</v>
      </c>
      <c r="F40" t="s">
        <v>184</v>
      </c>
      <c r="G40" t="s">
        <v>186</v>
      </c>
      <c r="H40" t="s">
        <v>158</v>
      </c>
      <c r="I40" t="s">
        <v>187</v>
      </c>
      <c r="J40">
        <v>250</v>
      </c>
      <c r="K40">
        <v>0.00304</v>
      </c>
      <c r="L40">
        <f t="shared" si="1"/>
        <v>0.76</v>
      </c>
    </row>
    <row r="41" ht="13" customHeight="1" spans="1:12">
      <c r="A41">
        <v>40</v>
      </c>
      <c r="B41">
        <v>1</v>
      </c>
      <c r="C41" t="s">
        <v>188</v>
      </c>
      <c r="D41" t="s">
        <v>189</v>
      </c>
      <c r="E41" t="s">
        <v>156</v>
      </c>
      <c r="F41" t="s">
        <v>188</v>
      </c>
      <c r="G41" t="s">
        <v>190</v>
      </c>
      <c r="H41" t="s">
        <v>158</v>
      </c>
      <c r="I41" t="s">
        <v>191</v>
      </c>
      <c r="J41">
        <v>130</v>
      </c>
      <c r="K41">
        <v>0.00333</v>
      </c>
      <c r="L41">
        <f t="shared" si="1"/>
        <v>0.4329</v>
      </c>
    </row>
    <row r="42" spans="1:12">
      <c r="A42">
        <v>41</v>
      </c>
      <c r="B42">
        <v>1</v>
      </c>
      <c r="C42" t="s">
        <v>164</v>
      </c>
      <c r="D42" t="s">
        <v>192</v>
      </c>
      <c r="E42" t="s">
        <v>193</v>
      </c>
      <c r="F42" t="s">
        <v>164</v>
      </c>
      <c r="G42" t="s">
        <v>194</v>
      </c>
      <c r="H42" t="s">
        <v>158</v>
      </c>
      <c r="I42" t="s">
        <v>195</v>
      </c>
      <c r="J42">
        <v>130</v>
      </c>
      <c r="K42">
        <v>0.00656</v>
      </c>
      <c r="L42">
        <f t="shared" si="1"/>
        <v>0.8528</v>
      </c>
    </row>
    <row r="43" spans="1:12">
      <c r="A43">
        <v>42</v>
      </c>
      <c r="B43">
        <v>1</v>
      </c>
      <c r="C43" t="s">
        <v>196</v>
      </c>
      <c r="D43" t="s">
        <v>197</v>
      </c>
      <c r="E43" t="s">
        <v>156</v>
      </c>
      <c r="F43" t="s">
        <v>196</v>
      </c>
      <c r="G43" t="s">
        <v>198</v>
      </c>
      <c r="H43" t="s">
        <v>158</v>
      </c>
      <c r="I43" t="s">
        <v>199</v>
      </c>
      <c r="J43">
        <v>130</v>
      </c>
      <c r="K43">
        <v>0.00342</v>
      </c>
      <c r="L43">
        <f t="shared" si="1"/>
        <v>0.4446</v>
      </c>
    </row>
    <row r="44" spans="1:12">
      <c r="A44">
        <v>43</v>
      </c>
      <c r="B44">
        <v>2</v>
      </c>
      <c r="C44" t="s">
        <v>184</v>
      </c>
      <c r="D44" t="s">
        <v>200</v>
      </c>
      <c r="E44" t="s">
        <v>193</v>
      </c>
      <c r="F44" t="s">
        <v>184</v>
      </c>
      <c r="G44" t="s">
        <v>201</v>
      </c>
      <c r="H44" t="s">
        <v>158</v>
      </c>
      <c r="I44" t="s">
        <v>202</v>
      </c>
      <c r="J44">
        <v>250</v>
      </c>
      <c r="K44">
        <v>0.00675</v>
      </c>
      <c r="L44">
        <f t="shared" si="1"/>
        <v>1.6875</v>
      </c>
    </row>
    <row r="45" spans="1:12">
      <c r="A45">
        <v>44</v>
      </c>
      <c r="B45">
        <v>3</v>
      </c>
      <c r="C45" t="s">
        <v>203</v>
      </c>
      <c r="D45" t="s">
        <v>204</v>
      </c>
      <c r="E45" t="s">
        <v>156</v>
      </c>
      <c r="F45" t="s">
        <v>203</v>
      </c>
      <c r="G45" t="s">
        <v>205</v>
      </c>
      <c r="H45" t="s">
        <v>158</v>
      </c>
      <c r="I45" t="s">
        <v>206</v>
      </c>
      <c r="J45">
        <v>370</v>
      </c>
      <c r="K45">
        <v>0.00323</v>
      </c>
      <c r="L45">
        <f t="shared" si="1"/>
        <v>1.1951</v>
      </c>
    </row>
    <row r="46" spans="1:12">
      <c r="A46">
        <v>45</v>
      </c>
      <c r="B46">
        <v>1</v>
      </c>
      <c r="C46" t="s">
        <v>207</v>
      </c>
      <c r="D46" t="s">
        <v>208</v>
      </c>
      <c r="E46" t="s">
        <v>156</v>
      </c>
      <c r="F46" t="s">
        <v>207</v>
      </c>
      <c r="G46" t="s">
        <v>209</v>
      </c>
      <c r="H46" t="s">
        <v>158</v>
      </c>
      <c r="I46" t="s">
        <v>210</v>
      </c>
      <c r="J46">
        <v>130</v>
      </c>
      <c r="K46">
        <v>0.00333</v>
      </c>
      <c r="L46">
        <f t="shared" si="1"/>
        <v>0.4329</v>
      </c>
    </row>
    <row r="47" spans="1:12">
      <c r="A47">
        <v>46</v>
      </c>
      <c r="B47">
        <v>2</v>
      </c>
      <c r="C47" t="s">
        <v>211</v>
      </c>
      <c r="D47" t="s">
        <v>212</v>
      </c>
      <c r="E47" t="s">
        <v>156</v>
      </c>
      <c r="F47" t="s">
        <v>211</v>
      </c>
      <c r="G47" t="s">
        <v>213</v>
      </c>
      <c r="H47" t="s">
        <v>158</v>
      </c>
      <c r="I47" t="s">
        <v>214</v>
      </c>
      <c r="J47">
        <v>250</v>
      </c>
      <c r="K47">
        <v>0.0035</v>
      </c>
      <c r="L47">
        <f t="shared" si="1"/>
        <v>0.875</v>
      </c>
    </row>
    <row r="48" spans="1:12">
      <c r="A48">
        <v>47</v>
      </c>
      <c r="B48">
        <v>2</v>
      </c>
      <c r="C48" t="s">
        <v>215</v>
      </c>
      <c r="D48" t="s">
        <v>216</v>
      </c>
      <c r="E48" t="s">
        <v>156</v>
      </c>
      <c r="F48" t="s">
        <v>215</v>
      </c>
      <c r="G48" t="s">
        <v>217</v>
      </c>
      <c r="H48" t="s">
        <v>158</v>
      </c>
      <c r="I48" t="s">
        <v>218</v>
      </c>
      <c r="J48">
        <v>250</v>
      </c>
      <c r="K48">
        <v>0.00361</v>
      </c>
      <c r="L48">
        <f t="shared" si="1"/>
        <v>0.9025</v>
      </c>
    </row>
    <row r="49" spans="1:12">
      <c r="A49">
        <v>48</v>
      </c>
      <c r="B49">
        <v>2</v>
      </c>
      <c r="C49" t="s">
        <v>219</v>
      </c>
      <c r="D49" t="s">
        <v>220</v>
      </c>
      <c r="E49" t="s">
        <v>156</v>
      </c>
      <c r="F49" t="s">
        <v>219</v>
      </c>
      <c r="G49" t="s">
        <v>221</v>
      </c>
      <c r="H49" t="s">
        <v>222</v>
      </c>
      <c r="I49" t="s">
        <v>223</v>
      </c>
      <c r="J49">
        <v>250</v>
      </c>
      <c r="K49">
        <v>0.0029</v>
      </c>
      <c r="L49">
        <f t="shared" si="1"/>
        <v>0.725</v>
      </c>
    </row>
    <row r="50" spans="1:12">
      <c r="A50">
        <v>49</v>
      </c>
      <c r="B50">
        <v>2</v>
      </c>
      <c r="C50" t="s">
        <v>224</v>
      </c>
      <c r="D50" t="s">
        <v>225</v>
      </c>
      <c r="E50" t="s">
        <v>156</v>
      </c>
      <c r="F50" t="s">
        <v>224</v>
      </c>
      <c r="G50" t="s">
        <v>226</v>
      </c>
      <c r="H50" t="s">
        <v>222</v>
      </c>
      <c r="I50" t="s">
        <v>227</v>
      </c>
      <c r="J50">
        <v>250</v>
      </c>
      <c r="K50">
        <v>0.003</v>
      </c>
      <c r="L50">
        <f t="shared" si="1"/>
        <v>0.75</v>
      </c>
    </row>
    <row r="51" spans="1:12">
      <c r="A51">
        <v>50</v>
      </c>
      <c r="B51">
        <v>2</v>
      </c>
      <c r="C51" t="s">
        <v>228</v>
      </c>
      <c r="D51" t="s">
        <v>229</v>
      </c>
      <c r="E51" t="s">
        <v>156</v>
      </c>
      <c r="F51" t="s">
        <v>228</v>
      </c>
      <c r="G51" t="s">
        <v>230</v>
      </c>
      <c r="H51" t="s">
        <v>158</v>
      </c>
      <c r="I51" t="s">
        <v>231</v>
      </c>
      <c r="J51">
        <v>250</v>
      </c>
      <c r="K51">
        <v>0.00333</v>
      </c>
      <c r="L51">
        <f t="shared" si="1"/>
        <v>0.8325</v>
      </c>
    </row>
    <row r="52" spans="1:12">
      <c r="A52">
        <v>51</v>
      </c>
      <c r="B52">
        <v>2</v>
      </c>
      <c r="C52" t="s">
        <v>232</v>
      </c>
      <c r="D52" t="s">
        <v>233</v>
      </c>
      <c r="E52" t="s">
        <v>234</v>
      </c>
      <c r="G52" t="s">
        <v>232</v>
      </c>
      <c r="H52" t="s">
        <v>235</v>
      </c>
      <c r="I52" t="s">
        <v>236</v>
      </c>
      <c r="J52">
        <v>250</v>
      </c>
      <c r="K52">
        <v>0.0645</v>
      </c>
      <c r="L52">
        <f t="shared" si="1"/>
        <v>16.125</v>
      </c>
    </row>
    <row r="53" spans="1:12">
      <c r="A53">
        <v>52</v>
      </c>
      <c r="B53">
        <v>1</v>
      </c>
      <c r="C53" t="s">
        <v>237</v>
      </c>
      <c r="D53" t="s">
        <v>238</v>
      </c>
      <c r="E53" t="s">
        <v>239</v>
      </c>
      <c r="G53" t="s">
        <v>237</v>
      </c>
      <c r="H53" t="s">
        <v>240</v>
      </c>
      <c r="I53" t="s">
        <v>175</v>
      </c>
      <c r="J53">
        <v>122</v>
      </c>
      <c r="K53">
        <v>0.786</v>
      </c>
      <c r="L53">
        <f t="shared" si="1"/>
        <v>95.892</v>
      </c>
    </row>
    <row r="54" spans="1:12">
      <c r="A54">
        <v>53</v>
      </c>
      <c r="B54">
        <v>1</v>
      </c>
      <c r="C54" t="s">
        <v>241</v>
      </c>
      <c r="D54" t="s">
        <v>242</v>
      </c>
      <c r="E54" t="s">
        <v>243</v>
      </c>
      <c r="G54" t="s">
        <v>241</v>
      </c>
      <c r="H54" t="s">
        <v>244</v>
      </c>
      <c r="I54" t="s">
        <v>245</v>
      </c>
      <c r="J54">
        <v>124</v>
      </c>
      <c r="K54">
        <v>0.266</v>
      </c>
      <c r="L54">
        <f t="shared" si="1"/>
        <v>32.984</v>
      </c>
    </row>
    <row r="55" spans="1:12">
      <c r="A55">
        <v>54</v>
      </c>
      <c r="B55">
        <v>1</v>
      </c>
      <c r="C55" t="s">
        <v>246</v>
      </c>
      <c r="D55" t="s">
        <v>247</v>
      </c>
      <c r="E55" t="s">
        <v>248</v>
      </c>
      <c r="G55" t="s">
        <v>246</v>
      </c>
      <c r="H55" t="s">
        <v>244</v>
      </c>
      <c r="I55" t="s">
        <v>249</v>
      </c>
      <c r="J55">
        <v>124</v>
      </c>
      <c r="K55">
        <v>0.125</v>
      </c>
      <c r="L55">
        <f t="shared" si="1"/>
        <v>15.5</v>
      </c>
    </row>
    <row r="56" spans="1:12">
      <c r="A56">
        <v>55</v>
      </c>
      <c r="B56">
        <v>1</v>
      </c>
      <c r="C56" t="s">
        <v>250</v>
      </c>
      <c r="D56" t="s">
        <v>251</v>
      </c>
      <c r="E56" t="s">
        <v>252</v>
      </c>
      <c r="G56" t="s">
        <v>250</v>
      </c>
      <c r="H56" t="s">
        <v>253</v>
      </c>
      <c r="I56" t="s">
        <v>254</v>
      </c>
      <c r="J56">
        <v>120</v>
      </c>
      <c r="K56">
        <v>2.36</v>
      </c>
      <c r="L56">
        <f t="shared" si="1"/>
        <v>283.2</v>
      </c>
    </row>
    <row r="57" spans="1:12">
      <c r="A57">
        <v>56</v>
      </c>
      <c r="B57">
        <v>1</v>
      </c>
      <c r="C57" t="s">
        <v>255</v>
      </c>
      <c r="D57" t="s">
        <v>256</v>
      </c>
      <c r="E57" t="s">
        <v>257</v>
      </c>
      <c r="F57" t="s">
        <v>255</v>
      </c>
      <c r="G57" t="s">
        <v>258</v>
      </c>
      <c r="H57" t="s">
        <v>259</v>
      </c>
      <c r="I57" t="s">
        <v>260</v>
      </c>
      <c r="J57">
        <v>124</v>
      </c>
      <c r="K57">
        <v>0.342</v>
      </c>
      <c r="L57">
        <f t="shared" si="1"/>
        <v>42.408</v>
      </c>
    </row>
    <row r="58" spans="1:12">
      <c r="A58">
        <v>57</v>
      </c>
      <c r="B58">
        <v>1</v>
      </c>
      <c r="C58" t="s">
        <v>261</v>
      </c>
      <c r="D58" t="s">
        <v>262</v>
      </c>
      <c r="E58" t="s">
        <v>156</v>
      </c>
      <c r="F58" t="s">
        <v>261</v>
      </c>
    </row>
    <row r="59" spans="1:12">
      <c r="A59">
        <v>58</v>
      </c>
      <c r="B59">
        <v>2</v>
      </c>
      <c r="C59" t="s">
        <v>261</v>
      </c>
      <c r="D59" t="s">
        <v>263</v>
      </c>
      <c r="E59" t="s">
        <v>14</v>
      </c>
      <c r="F59" t="s">
        <v>261</v>
      </c>
    </row>
    <row r="60" spans="1:12">
      <c r="J60" t="s">
        <v>264</v>
      </c>
      <c r="L60">
        <f>SUM(L2:L57)</f>
        <v>1032.3466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BT-AI_PlanetaryCore-V1.00_PCB_v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郑延飞</cp:lastModifiedBy>
  <dcterms:created xsi:type="dcterms:W3CDTF">2026-01-20T07:47:59Z</dcterms:created>
  <dcterms:modified xsi:type="dcterms:W3CDTF">2026-01-20T08:39:00Z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CACEB4903CA9478298626EE5B9D17223_13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